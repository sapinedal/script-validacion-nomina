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.shortcut-targets-by-id\16r4kn-LwLrhE2jj9hFkrCJZf3KZGugks\Infraestructura\Administrativo\Personal de mantenimiento\Nomina\2026\5.  Mayo\"/>
    </mc:Choice>
  </mc:AlternateContent>
  <xr:revisionPtr revIDLastSave="0" documentId="13_ncr:1_{A9F66CE0-2534-40FF-8180-9F35BD20A8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H" sheetId="1" r:id="rId1"/>
    <sheet name="Hoja1" sheetId="2" r:id="rId2"/>
  </sheets>
  <definedNames>
    <definedName name="_xlnm._FilterDatabase" localSheetId="0" hidden="1">TH!$A$4:$AL$108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5" i="1" l="1"/>
  <c r="AI50" i="1"/>
  <c r="AI41" i="1"/>
  <c r="AI20" i="1"/>
  <c r="AC16" i="1"/>
  <c r="AI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ID#AAABdOVYQW0
Luz Mary Benítez Restrepo    (2022-11-25 01:22:24)
SOPORTES FISICOS Y ORIGINALES</t>
        </r>
      </text>
    </comment>
    <comment ref="Q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======
ID#AAABdOVYQW4
Luz Mary Benítez Restrepo    (2022-11-25 01:22:24)
SOPORTES FISICOS Y ORIGINALES</t>
        </r>
      </text>
    </comment>
    <comment ref="R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======
ID#AAABdOVYQW8
Luz Mary Benítez Restrepo    (2022-11-25 01:22:24)
SOPORTES FISICOS Y ORIGINALES</t>
        </r>
      </text>
    </comment>
    <comment ref="S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======
ID#AAABdOVYQXI
Luz Mary Benítez Restrepo    (2022-11-25 01:22:24)
PARTIDA DE DIFUNCIÓN</t>
        </r>
      </text>
    </comment>
    <comment ref="U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ID#AAABdOVYQXA
Luz Mary Benítez Restrepo    (2022-11-25 01:22:24)
SOPORTES FISICOS Y ORIGINALES</t>
        </r>
      </text>
    </comment>
  </commentList>
</comments>
</file>

<file path=xl/sharedStrings.xml><?xml version="1.0" encoding="utf-8"?>
<sst xmlns="http://schemas.openxmlformats.org/spreadsheetml/2006/main" count="356" uniqueCount="110">
  <si>
    <t>REPORTE DE NOVEDADES NÓMINA</t>
  </si>
  <si>
    <r>
      <rPr>
        <b/>
        <sz val="11"/>
        <color theme="1"/>
        <rFont val="Tahoma"/>
        <family val="2"/>
      </rPr>
      <t xml:space="preserve">Código: </t>
    </r>
    <r>
      <rPr>
        <sz val="11"/>
        <color theme="1"/>
        <rFont val="Tahoma"/>
        <family val="2"/>
      </rPr>
      <t>FO-GH-005</t>
    </r>
  </si>
  <si>
    <r>
      <rPr>
        <b/>
        <sz val="11"/>
        <color theme="1"/>
        <rFont val="Tahoma"/>
        <family val="2"/>
      </rPr>
      <t xml:space="preserve">Versión: </t>
    </r>
    <r>
      <rPr>
        <sz val="11"/>
        <color theme="1"/>
        <rFont val="Tahoma"/>
        <family val="2"/>
      </rPr>
      <t>03</t>
    </r>
  </si>
  <si>
    <r>
      <rPr>
        <b/>
        <sz val="11"/>
        <color theme="1"/>
        <rFont val="Tahoma"/>
        <family val="2"/>
      </rPr>
      <t>Fecha de aprobación:</t>
    </r>
    <r>
      <rPr>
        <sz val="11"/>
        <color theme="1"/>
        <rFont val="Tahoma"/>
        <family val="2"/>
      </rPr>
      <t xml:space="preserve"> 10/05/2022</t>
    </r>
  </si>
  <si>
    <t>No.</t>
  </si>
  <si>
    <t>SEDE</t>
  </si>
  <si>
    <t>IDENTIFICACIÓN</t>
  </si>
  <si>
    <t>NOMBRES Y APELLIDOS</t>
  </si>
  <si>
    <t>SALARIO</t>
  </si>
  <si>
    <t>BLOQUE DE HORAS</t>
  </si>
  <si>
    <t>HORAS LABORADAS EN EL MES</t>
  </si>
  <si>
    <t>INGRESO</t>
  </si>
  <si>
    <t>RENUNCIA</t>
  </si>
  <si>
    <t>TERMINACION DE CONTRATO</t>
  </si>
  <si>
    <t>DESPIDO NO JUSTIFICADO</t>
  </si>
  <si>
    <t>INCAPACIDAD</t>
  </si>
  <si>
    <t>AUSENCIA NO JUSTIFICADA</t>
  </si>
  <si>
    <t>CALAMIDAD</t>
  </si>
  <si>
    <t>PERMISO NO REM.</t>
  </si>
  <si>
    <t>PERMISO REMUNER</t>
  </si>
  <si>
    <t>LICENCIA MATER</t>
  </si>
  <si>
    <t>LICENCIA PATERNIDAD</t>
  </si>
  <si>
    <t>LEY DE LUTO</t>
  </si>
  <si>
    <t>SANCIONADO</t>
  </si>
  <si>
    <t>ACCIDENTE TRAB.</t>
  </si>
  <si>
    <t>RODAMIENTO CARRO</t>
  </si>
  <si>
    <t>RODAMIENTO MOTO</t>
  </si>
  <si>
    <t>RECARGO NOCTURNO</t>
  </si>
  <si>
    <t>RECARGO FESTIVO</t>
  </si>
  <si>
    <t>RECARGO FESTIVO NOCTURNO</t>
  </si>
  <si>
    <t>HORAS EXTRAS DIURNAS</t>
  </si>
  <si>
    <t>HORAS EXTRAS NOCTURNAS</t>
  </si>
  <si>
    <t>HORAS EXTRAS DIURNAS FESTIVAS</t>
  </si>
  <si>
    <t>HORAS EXTRAS NOCTURNAS FESTIVAS</t>
  </si>
  <si>
    <t>TRABAJO EN CASA</t>
  </si>
  <si>
    <t>VACACIONES DISFRUTADAS</t>
  </si>
  <si>
    <t>VACACIONES EN DINERO</t>
  </si>
  <si>
    <t>PLAN BENEFICIOS BIENESTAR LABORAL</t>
  </si>
  <si>
    <t>OTRO NO ESPEC *</t>
  </si>
  <si>
    <t>FEHCA INICIO NOVEDAD (DD-MM-AA)</t>
  </si>
  <si>
    <t>FEHCA FINAL NOVEDAD (DD-MM-AA)</t>
  </si>
  <si>
    <t>OBSERVACIONES</t>
  </si>
  <si>
    <t>Clinica Victoriana</t>
  </si>
  <si>
    <t>JAIRO EDWIN VARELA ARANGO</t>
  </si>
  <si>
    <t>JADER ANDRÉS RODRÍGUEZ CAÑAS</t>
  </si>
  <si>
    <t>SERGIO ANDRES RIOS SOLANO</t>
  </si>
  <si>
    <t>DORIAN RICARDO SIERRA PUERTA</t>
  </si>
  <si>
    <t>JUAN CARLOS GONZALEZ ORTIZ</t>
  </si>
  <si>
    <t>Clinica Victoriana y sedes</t>
  </si>
  <si>
    <t>GERALDINE FORERO MENDOZA</t>
  </si>
  <si>
    <t>Sedes</t>
  </si>
  <si>
    <t xml:space="preserve">JHON FAVER ECHAVARRIA TORRES </t>
  </si>
  <si>
    <t>ISMAEL HENRY CARVAJAL CUARTAS</t>
  </si>
  <si>
    <t>OSCAR DARIO RUIZ SEPULVEDA</t>
  </si>
  <si>
    <t>CARLOS MARIO PALACIO CIFUENTES</t>
  </si>
  <si>
    <t>MARLIO ANDRES RIOS ARTEAGA</t>
  </si>
  <si>
    <t>DIEGO ALEJANDRO MOLINA</t>
  </si>
  <si>
    <t>GARCIA CUELLAR JHON EDINSON</t>
  </si>
  <si>
    <t>CESAR IBAN FLOREZ PADILLA</t>
  </si>
  <si>
    <t>Trabajo en mantenimiento correctivo pintura en centro de atención Rionegro</t>
  </si>
  <si>
    <t>Rodamiento moto</t>
  </si>
  <si>
    <t>Mantenimiento a la infraestructura en Clínica Victoriana</t>
  </si>
  <si>
    <t>Acompañamiento por medio del celular para eventos en infraestructura</t>
  </si>
  <si>
    <t>Trabajos de mantenimientos correctivos y preventivos de Clínica Victoriana</t>
  </si>
  <si>
    <t>Mantenimiento correctivo a extractor de habitación 303 de Clínica Victoriana</t>
  </si>
  <si>
    <t>Acompañamiento en trabajos de UPS piso 1 de Clínica Victoriana</t>
  </si>
  <si>
    <t>Trabajos de mantenimiento correctivo a la infraestructura Villanueva</t>
  </si>
  <si>
    <t>Trabajos de mantenimiento a la infraestructura de cirugía clínica Victoriana</t>
  </si>
  <si>
    <t>Se realizo movimiento de mobiliario para organizar sala espera piso 1 Clínica Victoriana</t>
  </si>
  <si>
    <t>Se realizo trabajo de limpieza de carpas de cafetería primer piso Vagout</t>
  </si>
  <si>
    <t>Acompañamiento por medio del celular para eventos en infraestructura disponibilidad fin de semana</t>
  </si>
  <si>
    <t>Trabajos en linea frente piso 1 de Clínica Victoriana</t>
  </si>
  <si>
    <t>Trabajos en jardín plazoleta Clínica Victoriana</t>
  </si>
  <si>
    <t xml:space="preserve">Trabajos de mantenimientos correctivos y preventivos de Clínica Victoriana, Villanueva y Oriental </t>
  </si>
  <si>
    <t>Trabajos de mantenimientos correctivos y preventivos de Clínica Victoriana, Villanueva y Oriental</t>
  </si>
  <si>
    <t>Se realiza trabajos en la gerencia de Clínica Victoriana</t>
  </si>
  <si>
    <t>Trabajos de mantenimiento correctivo de pintura a la infraestructura Villanueva</t>
  </si>
  <si>
    <t>Trabajos de mantenimiento correctivo de pintura a la infraestructura Cirugía y central</t>
  </si>
  <si>
    <t>Se realiza instalación de marcos, vidrios y cambio de zócalos en prioritaria de Clínica Victoriana</t>
  </si>
  <si>
    <t>Se realiza mantenimiento preventivo de la infraestructura central y habitaciones</t>
  </si>
  <si>
    <t>Se realiza mantenimiento preventivo piso 8 Villanueva y cambio cilindros Manifold # 1 Clínica Victoriana</t>
  </si>
  <si>
    <t>Se realiza lavado de carpas y sombrillas, mantenimiento de ventiladores y mantenimiento correctivo en Clínica Victoriana</t>
  </si>
  <si>
    <t>Se realizo trabajos en gerencia Clínica Victoriana y se pintan pasamanos de piso 7 y 6 de Villanueva</t>
  </si>
  <si>
    <t xml:space="preserve">Se realiza mantenimiento correctivo de pintura en Villanueva </t>
  </si>
  <si>
    <t>Se realiza limpieza de tableros eléctricos, ajuste de bornera y correctivos de la infraestructura Clínica Victoriana</t>
  </si>
  <si>
    <t>Se realizan arreglo en cafetería de laboratorio, UCI y piso 1 de Clínica Victoriana</t>
  </si>
  <si>
    <t>Se realizan trabajos en el manifold y laboratorio de Clínica Victoriana</t>
  </si>
  <si>
    <t>Se realizan trabajos de apertura lokers piso 4 de Clínica Victoriana</t>
  </si>
  <si>
    <t>Se realiza mantenimiento a pintura de consultorio 202 y 502 a Villanueva</t>
  </si>
  <si>
    <t>Día de la familia</t>
  </si>
  <si>
    <t>Se realiza mantenimiento correctivo de pintura habitación 519 Clínica Victoriana</t>
  </si>
  <si>
    <t>Se realiza mantenimiento correctivo de habitación 307 Clínica Victoriana</t>
  </si>
  <si>
    <t>Se realiza mantenimiento de aires acondicionados de Clínica Victoriana, Oriental y Villanueva</t>
  </si>
  <si>
    <t>Se realiza mantenimiento correctivo de pintura habitación Clínica Victoriana</t>
  </si>
  <si>
    <t>Trabajo de limpieza serpentín piso 7 Clínica Victoriana</t>
  </si>
  <si>
    <t>Se realizan trabajos de mantenimiento correctivo aire acondicionado habitación 519 de Clínica Victoriana</t>
  </si>
  <si>
    <t>Se realizan trabajos administrativos con plataforma Keeper e informe Icontec</t>
  </si>
  <si>
    <t>17/05/206</t>
  </si>
  <si>
    <t>Realizando trabajo de verificación de mantenimiento y verificación de estado de habitación Clínica Victoriana</t>
  </si>
  <si>
    <t>Realizando trabajo de verificación de mantenimiento habitación 519 de Clínica Victoriana</t>
  </si>
  <si>
    <t>Se realizo trabajos de mantenimiento correctivo eléctricos para certificación RETIE en Turbo</t>
  </si>
  <si>
    <t>Trabajos en mejoras de local farmacia Envigado para entrega de local</t>
  </si>
  <si>
    <t xml:space="preserve">Trabajos de mantenimiento correctivo de pintura en centro de atención Rionegro </t>
  </si>
  <si>
    <t xml:space="preserve">Se programo trabajos de mantenimiento correctico en la sede Estadio </t>
  </si>
  <si>
    <t>Se programo trabajos de mantenimiento correctico en la sede Itagüí</t>
  </si>
  <si>
    <t>Se programo trabajos de mantenimiento correctico en la sede Envigado</t>
  </si>
  <si>
    <t xml:space="preserve">Trabajos de revisión en cirugía tableros eléctricos de Clínica Victoriana </t>
  </si>
  <si>
    <t>Se realiza trabajo de mantenimiento correctivo de pintura pasillo trauma de Clínica Victoriana</t>
  </si>
  <si>
    <t>Trabajos de mantenimientos correctivos y reinicio de alarma de oxigeno de Clínica Victoriana</t>
  </si>
  <si>
    <t>Calamidad domestica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</si>
</sst>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[$-C0A]d\-mmm;@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name val="Calibri"/>
      <family val="2"/>
    </font>
    <font>
      <b/>
      <sz val="22"/>
      <color theme="1"/>
      <name val="Tahoma"/>
      <family val="2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b/>
      <sz val="7"/>
      <color theme="1"/>
      <name val="Tahoma"/>
      <family val="2"/>
    </font>
    <font>
      <sz val="11"/>
      <color theme="1"/>
      <name val="Calibri"/>
      <family val="2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10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90">
    <xf numFmtId="0" fontId="0" fillId="0" borderId="0" xfId="0"/>
    <xf numFmtId="0" fontId="3" fillId="0" borderId="8" xfId="0" applyFont="1" applyBorder="1"/>
    <xf numFmtId="0" fontId="3" fillId="0" borderId="15" xfId="0" applyFont="1" applyBorder="1"/>
    <xf numFmtId="0" fontId="7" fillId="2" borderId="19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textRotation="180" wrapText="1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0" xfId="0" applyFont="1" applyBorder="1"/>
    <xf numFmtId="0" fontId="9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14" fontId="3" fillId="0" borderId="20" xfId="0" applyNumberFormat="1" applyFont="1" applyBorder="1" applyAlignment="1">
      <alignment vertical="center"/>
    </xf>
    <xf numFmtId="0" fontId="3" fillId="0" borderId="26" xfId="0" applyFont="1" applyBorder="1"/>
    <xf numFmtId="0" fontId="3" fillId="0" borderId="26" xfId="0" applyFont="1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0" borderId="16" xfId="0" applyFont="1" applyBorder="1"/>
    <xf numFmtId="16" fontId="3" fillId="0" borderId="20" xfId="0" applyNumberFormat="1" applyFont="1" applyBorder="1"/>
    <xf numFmtId="0" fontId="3" fillId="0" borderId="22" xfId="0" applyFont="1" applyBorder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3" fillId="0" borderId="29" xfId="0" applyFont="1" applyBorder="1" applyAlignment="1">
      <alignment vertical="center"/>
    </xf>
    <xf numFmtId="164" fontId="3" fillId="0" borderId="29" xfId="0" applyNumberFormat="1" applyFont="1" applyBorder="1" applyAlignment="1">
      <alignment vertical="center"/>
    </xf>
    <xf numFmtId="0" fontId="10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14" fontId="3" fillId="4" borderId="20" xfId="0" applyNumberFormat="1" applyFont="1" applyFill="1" applyBorder="1" applyAlignment="1">
      <alignment vertical="center"/>
    </xf>
    <xf numFmtId="0" fontId="3" fillId="0" borderId="22" xfId="0" applyFont="1" applyBorder="1" applyAlignment="1">
      <alignment horizontal="center"/>
    </xf>
    <xf numFmtId="0" fontId="0" fillId="0" borderId="0" xfId="0" applyAlignment="1">
      <alignment vertical="center"/>
    </xf>
    <xf numFmtId="164" fontId="3" fillId="0" borderId="26" xfId="0" applyNumberFormat="1" applyFont="1" applyBorder="1" applyAlignment="1">
      <alignment vertical="center"/>
    </xf>
    <xf numFmtId="0" fontId="9" fillId="0" borderId="3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3" fillId="0" borderId="30" xfId="0" applyFont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3" fillId="0" borderId="11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/>
    <xf numFmtId="0" fontId="3" fillId="0" borderId="29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5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3" fillId="4" borderId="12" xfId="0" applyFont="1" applyFill="1" applyBorder="1" applyAlignment="1">
      <alignment vertical="center"/>
    </xf>
    <xf numFmtId="0" fontId="3" fillId="4" borderId="29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3" fillId="4" borderId="29" xfId="0" applyFont="1" applyFill="1" applyBorder="1"/>
    <xf numFmtId="0" fontId="9" fillId="4" borderId="29" xfId="0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/>
    </xf>
    <xf numFmtId="0" fontId="3" fillId="4" borderId="29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/>
    </xf>
    <xf numFmtId="0" fontId="3" fillId="4" borderId="16" xfId="0" applyFont="1" applyFill="1" applyBorder="1"/>
    <xf numFmtId="0" fontId="3" fillId="4" borderId="26" xfId="0" applyFont="1" applyFill="1" applyBorder="1"/>
    <xf numFmtId="0" fontId="3" fillId="4" borderId="20" xfId="0" applyFont="1" applyFill="1" applyBorder="1"/>
    <xf numFmtId="16" fontId="3" fillId="4" borderId="20" xfId="0" applyNumberFormat="1" applyFont="1" applyFill="1" applyBorder="1"/>
    <xf numFmtId="0" fontId="3" fillId="4" borderId="24" xfId="0" applyFont="1" applyFill="1" applyBorder="1" applyAlignment="1">
      <alignment horizontal="center" vertical="center"/>
    </xf>
    <xf numFmtId="0" fontId="1" fillId="4" borderId="0" xfId="0" applyFont="1" applyFill="1"/>
    <xf numFmtId="0" fontId="9" fillId="4" borderId="32" xfId="0" applyFont="1" applyFill="1" applyBorder="1" applyAlignment="1">
      <alignment horizontal="center" vertical="center"/>
    </xf>
    <xf numFmtId="0" fontId="10" fillId="4" borderId="32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textRotation="180"/>
    </xf>
    <xf numFmtId="0" fontId="7" fillId="3" borderId="19" xfId="0" applyFont="1" applyFill="1" applyBorder="1" applyAlignment="1">
      <alignment horizontal="center" vertical="center" textRotation="180" wrapText="1"/>
    </xf>
    <xf numFmtId="0" fontId="8" fillId="2" borderId="34" xfId="0" applyFont="1" applyFill="1" applyBorder="1" applyAlignment="1">
      <alignment horizontal="center" vertical="center" wrapText="1"/>
    </xf>
    <xf numFmtId="16" fontId="3" fillId="0" borderId="26" xfId="0" applyNumberFormat="1" applyFont="1" applyBorder="1"/>
    <xf numFmtId="0" fontId="9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36" xfId="0" applyFont="1" applyBorder="1"/>
    <xf numFmtId="0" fontId="9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/>
    </xf>
    <xf numFmtId="0" fontId="3" fillId="0" borderId="39" xfId="0" applyFont="1" applyBorder="1"/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/>
    <xf numFmtId="16" fontId="3" fillId="0" borderId="36" xfId="0" applyNumberFormat="1" applyFont="1" applyBorder="1"/>
    <xf numFmtId="14" fontId="3" fillId="0" borderId="36" xfId="0" applyNumberFormat="1" applyFont="1" applyBorder="1" applyAlignment="1">
      <alignment vertical="center"/>
    </xf>
    <xf numFmtId="0" fontId="3" fillId="0" borderId="41" xfId="0" applyFont="1" applyBorder="1" applyAlignment="1">
      <alignment vertical="center" wrapText="1"/>
    </xf>
    <xf numFmtId="0" fontId="9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vertical="center" wrapText="1"/>
    </xf>
    <xf numFmtId="0" fontId="3" fillId="0" borderId="45" xfId="0" applyFont="1" applyBorder="1" applyAlignment="1">
      <alignment vertical="center"/>
    </xf>
    <xf numFmtId="0" fontId="10" fillId="0" borderId="46" xfId="0" applyFont="1" applyBorder="1" applyAlignment="1">
      <alignment horizontal="center" vertical="center"/>
    </xf>
    <xf numFmtId="0" fontId="3" fillId="0" borderId="46" xfId="0" applyFont="1" applyBorder="1"/>
    <xf numFmtId="0" fontId="3" fillId="0" borderId="46" xfId="0" applyFont="1" applyBorder="1" applyAlignment="1">
      <alignment horizontal="center" vertical="center"/>
    </xf>
    <xf numFmtId="0" fontId="3" fillId="0" borderId="48" xfId="0" applyFont="1" applyBorder="1" applyAlignment="1">
      <alignment vertical="center" wrapText="1"/>
    </xf>
    <xf numFmtId="0" fontId="3" fillId="4" borderId="31" xfId="0" applyFont="1" applyFill="1" applyBorder="1" applyAlignment="1">
      <alignment vertical="center"/>
    </xf>
    <xf numFmtId="0" fontId="3" fillId="4" borderId="31" xfId="0" applyFont="1" applyFill="1" applyBorder="1"/>
    <xf numFmtId="0" fontId="9" fillId="4" borderId="31" xfId="0" applyFont="1" applyFill="1" applyBorder="1" applyAlignment="1">
      <alignment horizontal="center" vertical="center"/>
    </xf>
    <xf numFmtId="0" fontId="10" fillId="4" borderId="31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/>
    </xf>
    <xf numFmtId="0" fontId="3" fillId="4" borderId="31" xfId="0" applyFont="1" applyFill="1" applyBorder="1" applyAlignment="1">
      <alignment horizontal="center" vertical="center"/>
    </xf>
    <xf numFmtId="16" fontId="3" fillId="4" borderId="26" xfId="0" applyNumberFormat="1" applyFont="1" applyFill="1" applyBorder="1"/>
    <xf numFmtId="0" fontId="3" fillId="4" borderId="25" xfId="0" applyFont="1" applyFill="1" applyBorder="1" applyAlignment="1">
      <alignment horizontal="center" vertical="center"/>
    </xf>
    <xf numFmtId="14" fontId="3" fillId="4" borderId="26" xfId="0" applyNumberFormat="1" applyFont="1" applyFill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9" fillId="0" borderId="39" xfId="0" applyFont="1" applyBorder="1" applyAlignment="1">
      <alignment horizontal="center" vertical="center"/>
    </xf>
    <xf numFmtId="0" fontId="3" fillId="0" borderId="46" xfId="0" applyFont="1" applyBorder="1" applyAlignment="1">
      <alignment vertical="center"/>
    </xf>
    <xf numFmtId="0" fontId="9" fillId="0" borderId="46" xfId="0" applyFont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vertical="center"/>
    </xf>
    <xf numFmtId="0" fontId="3" fillId="4" borderId="39" xfId="0" applyFont="1" applyFill="1" applyBorder="1" applyAlignment="1">
      <alignment vertical="center"/>
    </xf>
    <xf numFmtId="0" fontId="3" fillId="4" borderId="50" xfId="0" applyFont="1" applyFill="1" applyBorder="1" applyAlignment="1">
      <alignment vertical="center"/>
    </xf>
    <xf numFmtId="0" fontId="3" fillId="4" borderId="39" xfId="0" applyFont="1" applyFill="1" applyBorder="1"/>
    <xf numFmtId="0" fontId="9" fillId="4" borderId="39" xfId="0" applyFont="1" applyFill="1" applyBorder="1" applyAlignment="1">
      <alignment horizontal="center" vertical="center"/>
    </xf>
    <xf numFmtId="0" fontId="10" fillId="4" borderId="39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/>
    </xf>
    <xf numFmtId="0" fontId="3" fillId="4" borderId="39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/>
    </xf>
    <xf numFmtId="0" fontId="3" fillId="4" borderId="38" xfId="0" applyFont="1" applyFill="1" applyBorder="1"/>
    <xf numFmtId="0" fontId="3" fillId="4" borderId="36" xfId="0" applyFont="1" applyFill="1" applyBorder="1"/>
    <xf numFmtId="16" fontId="3" fillId="4" borderId="36" xfId="0" applyNumberFormat="1" applyFont="1" applyFill="1" applyBorder="1"/>
    <xf numFmtId="0" fontId="3" fillId="4" borderId="40" xfId="0" applyFont="1" applyFill="1" applyBorder="1" applyAlignment="1">
      <alignment horizontal="center" vertical="center"/>
    </xf>
    <xf numFmtId="14" fontId="3" fillId="4" borderId="36" xfId="0" applyNumberFormat="1" applyFont="1" applyFill="1" applyBorder="1" applyAlignment="1">
      <alignment vertical="center"/>
    </xf>
    <xf numFmtId="0" fontId="3" fillId="4" borderId="41" xfId="0" applyFont="1" applyFill="1" applyBorder="1" applyAlignment="1">
      <alignment vertical="center" wrapText="1"/>
    </xf>
    <xf numFmtId="0" fontId="9" fillId="4" borderId="42" xfId="0" applyFont="1" applyFill="1" applyBorder="1" applyAlignment="1">
      <alignment horizontal="center" vertical="center"/>
    </xf>
    <xf numFmtId="0" fontId="3" fillId="4" borderId="43" xfId="0" applyFont="1" applyFill="1" applyBorder="1" applyAlignment="1">
      <alignment vertical="center" wrapText="1"/>
    </xf>
    <xf numFmtId="14" fontId="3" fillId="4" borderId="44" xfId="0" applyNumberFormat="1" applyFont="1" applyFill="1" applyBorder="1" applyAlignment="1">
      <alignment vertical="center"/>
    </xf>
    <xf numFmtId="0" fontId="9" fillId="4" borderId="51" xfId="0" applyFont="1" applyFill="1" applyBorder="1" applyAlignment="1">
      <alignment horizontal="center" vertical="center"/>
    </xf>
    <xf numFmtId="0" fontId="3" fillId="4" borderId="25" xfId="0" applyFont="1" applyFill="1" applyBorder="1"/>
    <xf numFmtId="0" fontId="3" fillId="4" borderId="53" xfId="0" applyFont="1" applyFill="1" applyBorder="1"/>
    <xf numFmtId="0" fontId="3" fillId="4" borderId="53" xfId="0" applyFont="1" applyFill="1" applyBorder="1" applyAlignment="1">
      <alignment horizontal="center"/>
    </xf>
    <xf numFmtId="0" fontId="3" fillId="4" borderId="53" xfId="0" applyFont="1" applyFill="1" applyBorder="1" applyAlignment="1">
      <alignment horizontal="center" vertical="center"/>
    </xf>
    <xf numFmtId="14" fontId="3" fillId="4" borderId="31" xfId="0" applyNumberFormat="1" applyFont="1" applyFill="1" applyBorder="1" applyAlignment="1">
      <alignment horizontal="center"/>
    </xf>
    <xf numFmtId="164" fontId="3" fillId="4" borderId="39" xfId="0" applyNumberFormat="1" applyFont="1" applyFill="1" applyBorder="1" applyAlignment="1">
      <alignment vertical="center"/>
    </xf>
    <xf numFmtId="14" fontId="3" fillId="4" borderId="39" xfId="0" applyNumberFormat="1" applyFont="1" applyFill="1" applyBorder="1" applyAlignment="1">
      <alignment horizontal="center" vertical="center"/>
    </xf>
    <xf numFmtId="14" fontId="3" fillId="4" borderId="39" xfId="0" applyNumberFormat="1" applyFont="1" applyFill="1" applyBorder="1" applyAlignment="1">
      <alignment vertical="center"/>
    </xf>
    <xf numFmtId="0" fontId="3" fillId="4" borderId="53" xfId="0" applyFont="1" applyFill="1" applyBorder="1" applyAlignment="1">
      <alignment vertical="center"/>
    </xf>
    <xf numFmtId="0" fontId="3" fillId="4" borderId="54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4" borderId="55" xfId="0" applyFont="1" applyFill="1" applyBorder="1" applyAlignment="1">
      <alignment horizontal="center" vertical="center"/>
    </xf>
    <xf numFmtId="0" fontId="3" fillId="4" borderId="55" xfId="0" applyFont="1" applyFill="1" applyBorder="1" applyAlignment="1">
      <alignment vertical="center"/>
    </xf>
    <xf numFmtId="0" fontId="3" fillId="4" borderId="36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vertical="center"/>
    </xf>
    <xf numFmtId="164" fontId="3" fillId="4" borderId="31" xfId="0" applyNumberFormat="1" applyFont="1" applyFill="1" applyBorder="1" applyAlignment="1">
      <alignment vertical="center"/>
    </xf>
    <xf numFmtId="14" fontId="3" fillId="4" borderId="31" xfId="0" applyNumberFormat="1" applyFont="1" applyFill="1" applyBorder="1" applyAlignment="1">
      <alignment horizontal="center" vertical="center"/>
    </xf>
    <xf numFmtId="14" fontId="3" fillId="4" borderId="31" xfId="0" applyNumberFormat="1" applyFont="1" applyFill="1" applyBorder="1" applyAlignment="1">
      <alignment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vertical="center"/>
    </xf>
    <xf numFmtId="0" fontId="3" fillId="4" borderId="26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vertical="center"/>
    </xf>
    <xf numFmtId="164" fontId="3" fillId="4" borderId="29" xfId="0" applyNumberFormat="1" applyFont="1" applyFill="1" applyBorder="1" applyAlignment="1">
      <alignment vertical="center"/>
    </xf>
    <xf numFmtId="14" fontId="3" fillId="4" borderId="29" xfId="0" applyNumberFormat="1" applyFont="1" applyFill="1" applyBorder="1" applyAlignment="1">
      <alignment horizontal="center" vertical="center"/>
    </xf>
    <xf numFmtId="14" fontId="3" fillId="4" borderId="29" xfId="0" applyNumberFormat="1" applyFont="1" applyFill="1" applyBorder="1" applyAlignment="1">
      <alignment vertical="center"/>
    </xf>
    <xf numFmtId="0" fontId="9" fillId="4" borderId="56" xfId="0" applyFont="1" applyFill="1" applyBorder="1" applyAlignment="1">
      <alignment horizontal="center" vertical="center"/>
    </xf>
    <xf numFmtId="14" fontId="3" fillId="4" borderId="46" xfId="0" applyNumberFormat="1" applyFont="1" applyFill="1" applyBorder="1" applyAlignment="1">
      <alignment vertical="center"/>
    </xf>
    <xf numFmtId="0" fontId="3" fillId="0" borderId="39" xfId="0" applyFont="1" applyBorder="1" applyAlignment="1">
      <alignment vertical="center"/>
    </xf>
    <xf numFmtId="164" fontId="3" fillId="0" borderId="39" xfId="0" applyNumberFormat="1" applyFont="1" applyBorder="1" applyAlignment="1">
      <alignment vertical="center"/>
    </xf>
    <xf numFmtId="0" fontId="3" fillId="0" borderId="49" xfId="0" applyFont="1" applyBorder="1" applyAlignment="1">
      <alignment horizontal="center" vertical="center"/>
    </xf>
    <xf numFmtId="0" fontId="3" fillId="0" borderId="55" xfId="0" applyFont="1" applyBorder="1" applyAlignment="1">
      <alignment vertical="center"/>
    </xf>
    <xf numFmtId="0" fontId="9" fillId="0" borderId="56" xfId="0" applyFont="1" applyBorder="1" applyAlignment="1">
      <alignment horizontal="center" vertical="center"/>
    </xf>
    <xf numFmtId="164" fontId="3" fillId="0" borderId="46" xfId="0" applyNumberFormat="1" applyFont="1" applyBorder="1" applyAlignment="1">
      <alignment vertical="center"/>
    </xf>
    <xf numFmtId="16" fontId="3" fillId="0" borderId="22" xfId="0" applyNumberFormat="1" applyFont="1" applyBorder="1"/>
    <xf numFmtId="0" fontId="3" fillId="0" borderId="10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3" fillId="0" borderId="55" xfId="0" applyFont="1" applyBorder="1"/>
    <xf numFmtId="0" fontId="3" fillId="0" borderId="55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57" xfId="0" applyFont="1" applyBorder="1"/>
    <xf numFmtId="0" fontId="3" fillId="0" borderId="27" xfId="0" applyFont="1" applyBorder="1" applyAlignment="1">
      <alignment vertical="center"/>
    </xf>
    <xf numFmtId="14" fontId="3" fillId="0" borderId="29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vertical="center"/>
    </xf>
    <xf numFmtId="16" fontId="3" fillId="0" borderId="29" xfId="0" applyNumberFormat="1" applyFont="1" applyBorder="1"/>
    <xf numFmtId="0" fontId="9" fillId="0" borderId="32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6" fontId="3" fillId="0" borderId="32" xfId="0" applyNumberFormat="1" applyFont="1" applyBorder="1"/>
    <xf numFmtId="0" fontId="3" fillId="0" borderId="28" xfId="0" applyFont="1" applyBorder="1" applyAlignment="1">
      <alignment vertical="center"/>
    </xf>
    <xf numFmtId="0" fontId="10" fillId="0" borderId="55" xfId="0" applyFont="1" applyBorder="1" applyAlignment="1">
      <alignment horizontal="center" vertical="center"/>
    </xf>
    <xf numFmtId="14" fontId="3" fillId="0" borderId="55" xfId="0" applyNumberFormat="1" applyFont="1" applyBorder="1" applyAlignment="1">
      <alignment horizontal="center" vertical="center"/>
    </xf>
    <xf numFmtId="0" fontId="3" fillId="0" borderId="53" xfId="0" applyFont="1" applyBorder="1"/>
    <xf numFmtId="0" fontId="3" fillId="0" borderId="40" xfId="0" applyFont="1" applyBorder="1"/>
    <xf numFmtId="0" fontId="9" fillId="0" borderId="59" xfId="0" applyFont="1" applyBorder="1" applyAlignment="1">
      <alignment horizontal="center" vertical="center"/>
    </xf>
    <xf numFmtId="0" fontId="3" fillId="0" borderId="52" xfId="0" applyFont="1" applyBorder="1" applyAlignment="1">
      <alignment vertical="center" wrapText="1"/>
    </xf>
    <xf numFmtId="0" fontId="9" fillId="0" borderId="60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3" fillId="0" borderId="63" xfId="0" applyFont="1" applyBorder="1" applyAlignment="1">
      <alignment vertical="center" wrapText="1"/>
    </xf>
    <xf numFmtId="14" fontId="3" fillId="0" borderId="26" xfId="0" applyNumberFormat="1" applyFont="1" applyBorder="1" applyAlignment="1">
      <alignment vertical="center"/>
    </xf>
    <xf numFmtId="0" fontId="9" fillId="0" borderId="66" xfId="0" applyFont="1" applyBorder="1" applyAlignment="1">
      <alignment horizontal="center" vertical="center"/>
    </xf>
    <xf numFmtId="16" fontId="3" fillId="0" borderId="39" xfId="0" applyNumberFormat="1" applyFont="1" applyBorder="1"/>
    <xf numFmtId="0" fontId="3" fillId="0" borderId="67" xfId="0" applyFont="1" applyBorder="1" applyAlignment="1">
      <alignment vertical="center" wrapText="1"/>
    </xf>
    <xf numFmtId="0" fontId="9" fillId="0" borderId="68" xfId="0" applyFont="1" applyBorder="1" applyAlignment="1">
      <alignment horizontal="center" vertical="center"/>
    </xf>
    <xf numFmtId="16" fontId="3" fillId="0" borderId="46" xfId="0" applyNumberFormat="1" applyFont="1" applyBorder="1"/>
    <xf numFmtId="0" fontId="3" fillId="0" borderId="69" xfId="0" applyFont="1" applyBorder="1" applyAlignment="1">
      <alignment vertical="center" wrapText="1"/>
    </xf>
    <xf numFmtId="0" fontId="9" fillId="0" borderId="70" xfId="0" applyFont="1" applyBorder="1" applyAlignment="1">
      <alignment horizontal="center" vertical="center"/>
    </xf>
    <xf numFmtId="164" fontId="3" fillId="0" borderId="31" xfId="0" applyNumberFormat="1" applyFont="1" applyBorder="1" applyAlignment="1">
      <alignment vertical="center"/>
    </xf>
    <xf numFmtId="0" fontId="9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" fontId="3" fillId="0" borderId="31" xfId="0" applyNumberFormat="1" applyFont="1" applyBorder="1"/>
    <xf numFmtId="0" fontId="3" fillId="0" borderId="71" xfId="0" applyFont="1" applyBorder="1" applyAlignment="1">
      <alignment vertical="center" wrapText="1"/>
    </xf>
    <xf numFmtId="0" fontId="9" fillId="0" borderId="51" xfId="0" applyFont="1" applyBorder="1" applyAlignment="1">
      <alignment horizontal="center" vertical="center"/>
    </xf>
    <xf numFmtId="14" fontId="3" fillId="0" borderId="30" xfId="0" applyNumberFormat="1" applyFont="1" applyBorder="1" applyAlignment="1">
      <alignment horizontal="center" vertical="center"/>
    </xf>
    <xf numFmtId="14" fontId="3" fillId="0" borderId="39" xfId="0" applyNumberFormat="1" applyFont="1" applyBorder="1" applyAlignment="1">
      <alignment vertical="center"/>
    </xf>
    <xf numFmtId="0" fontId="3" fillId="0" borderId="46" xfId="0" applyFont="1" applyBorder="1" applyAlignment="1">
      <alignment vertical="center" wrapText="1"/>
    </xf>
    <xf numFmtId="14" fontId="3" fillId="0" borderId="29" xfId="0" applyNumberFormat="1" applyFont="1" applyBorder="1"/>
    <xf numFmtId="0" fontId="9" fillId="4" borderId="60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vertical="center"/>
    </xf>
    <xf numFmtId="0" fontId="3" fillId="4" borderId="32" xfId="0" applyFont="1" applyFill="1" applyBorder="1" applyAlignment="1">
      <alignment vertical="center"/>
    </xf>
    <xf numFmtId="164" fontId="3" fillId="4" borderId="32" xfId="0" applyNumberFormat="1" applyFont="1" applyFill="1" applyBorder="1" applyAlignment="1">
      <alignment vertical="center"/>
    </xf>
    <xf numFmtId="14" fontId="3" fillId="4" borderId="32" xfId="0" applyNumberFormat="1" applyFont="1" applyFill="1" applyBorder="1" applyAlignment="1">
      <alignment horizontal="center" vertical="center"/>
    </xf>
    <xf numFmtId="14" fontId="3" fillId="4" borderId="32" xfId="0" applyNumberFormat="1" applyFont="1" applyFill="1" applyBorder="1" applyAlignment="1">
      <alignment vertical="center"/>
    </xf>
    <xf numFmtId="0" fontId="3" fillId="4" borderId="58" xfId="0" applyFont="1" applyFill="1" applyBorder="1" applyAlignment="1">
      <alignment vertical="center"/>
    </xf>
    <xf numFmtId="0" fontId="3" fillId="4" borderId="58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16" fontId="3" fillId="4" borderId="22" xfId="0" applyNumberFormat="1" applyFont="1" applyFill="1" applyBorder="1"/>
    <xf numFmtId="14" fontId="3" fillId="4" borderId="22" xfId="0" applyNumberFormat="1" applyFont="1" applyFill="1" applyBorder="1" applyAlignment="1">
      <alignment vertical="center"/>
    </xf>
    <xf numFmtId="0" fontId="3" fillId="4" borderId="65" xfId="0" applyFont="1" applyFill="1" applyBorder="1" applyAlignment="1">
      <alignment vertical="center" wrapText="1"/>
    </xf>
    <xf numFmtId="14" fontId="3" fillId="0" borderId="46" xfId="0" applyNumberFormat="1" applyFont="1" applyBorder="1" applyAlignment="1">
      <alignment vertical="center"/>
    </xf>
    <xf numFmtId="164" fontId="3" fillId="0" borderId="32" xfId="0" applyNumberFormat="1" applyFont="1" applyBorder="1" applyAlignment="1">
      <alignment vertical="center"/>
    </xf>
    <xf numFmtId="16" fontId="3" fillId="0" borderId="20" xfId="0" applyNumberFormat="1" applyFont="1" applyBorder="1" applyAlignment="1">
      <alignment vertical="center"/>
    </xf>
    <xf numFmtId="0" fontId="3" fillId="0" borderId="72" xfId="0" applyFont="1" applyBorder="1" applyAlignment="1">
      <alignment vertical="center"/>
    </xf>
    <xf numFmtId="0" fontId="3" fillId="0" borderId="10" xfId="0" applyFont="1" applyBorder="1"/>
    <xf numFmtId="0" fontId="3" fillId="0" borderId="75" xfId="0" applyFont="1" applyBorder="1" applyAlignment="1">
      <alignment vertical="center"/>
    </xf>
    <xf numFmtId="0" fontId="9" fillId="0" borderId="77" xfId="0" applyFont="1" applyBorder="1" applyAlignment="1">
      <alignment horizontal="center" vertical="center"/>
    </xf>
    <xf numFmtId="0" fontId="3" fillId="0" borderId="64" xfId="0" applyFont="1" applyBorder="1" applyAlignment="1">
      <alignment vertical="center"/>
    </xf>
    <xf numFmtId="14" fontId="3" fillId="0" borderId="46" xfId="0" applyNumberFormat="1" applyFont="1" applyBorder="1" applyAlignment="1">
      <alignment horizontal="center" vertical="center"/>
    </xf>
    <xf numFmtId="0" fontId="3" fillId="0" borderId="46" xfId="0" applyFont="1" applyBorder="1" applyAlignment="1">
      <alignment horizontal="center"/>
    </xf>
    <xf numFmtId="16" fontId="3" fillId="0" borderId="47" xfId="0" applyNumberFormat="1" applyFont="1" applyBorder="1"/>
    <xf numFmtId="0" fontId="3" fillId="0" borderId="78" xfId="0" applyFont="1" applyBorder="1" applyAlignment="1">
      <alignment vertical="center" wrapText="1"/>
    </xf>
    <xf numFmtId="0" fontId="3" fillId="0" borderId="30" xfId="0" applyFont="1" applyBorder="1"/>
    <xf numFmtId="16" fontId="3" fillId="0" borderId="30" xfId="0" applyNumberFormat="1" applyFont="1" applyBorder="1"/>
    <xf numFmtId="164" fontId="3" fillId="0" borderId="11" xfId="0" applyNumberFormat="1" applyFont="1" applyBorder="1" applyAlignment="1">
      <alignment vertical="center"/>
    </xf>
    <xf numFmtId="14" fontId="3" fillId="0" borderId="32" xfId="0" applyNumberFormat="1" applyFont="1" applyBorder="1" applyAlignment="1">
      <alignment horizontal="center" vertical="center"/>
    </xf>
    <xf numFmtId="0" fontId="3" fillId="0" borderId="32" xfId="0" applyFont="1" applyBorder="1"/>
    <xf numFmtId="0" fontId="3" fillId="0" borderId="11" xfId="0" applyFont="1" applyBorder="1"/>
    <xf numFmtId="0" fontId="3" fillId="4" borderId="79" xfId="0" applyFont="1" applyFill="1" applyBorder="1" applyAlignment="1">
      <alignment vertical="center" wrapText="1"/>
    </xf>
    <xf numFmtId="0" fontId="3" fillId="4" borderId="72" xfId="0" applyFont="1" applyFill="1" applyBorder="1" applyAlignment="1">
      <alignment horizontal="center" vertical="center"/>
    </xf>
    <xf numFmtId="0" fontId="3" fillId="4" borderId="80" xfId="0" applyFont="1" applyFill="1" applyBorder="1" applyAlignment="1">
      <alignment horizontal="center" vertical="center"/>
    </xf>
    <xf numFmtId="0" fontId="3" fillId="4" borderId="81" xfId="0" applyFont="1" applyFill="1" applyBorder="1" applyAlignment="1">
      <alignment vertical="center" wrapText="1"/>
    </xf>
    <xf numFmtId="0" fontId="3" fillId="0" borderId="82" xfId="0" applyFont="1" applyBorder="1" applyAlignment="1">
      <alignment horizontal="center" vertical="center"/>
    </xf>
    <xf numFmtId="0" fontId="3" fillId="0" borderId="82" xfId="0" applyFont="1" applyBorder="1" applyAlignment="1">
      <alignment vertical="center"/>
    </xf>
    <xf numFmtId="16" fontId="3" fillId="0" borderId="82" xfId="0" applyNumberFormat="1" applyFont="1" applyBorder="1"/>
    <xf numFmtId="16" fontId="3" fillId="4" borderId="29" xfId="0" applyNumberFormat="1" applyFont="1" applyFill="1" applyBorder="1"/>
    <xf numFmtId="0" fontId="3" fillId="0" borderId="31" xfId="0" applyFont="1" applyBorder="1"/>
    <xf numFmtId="0" fontId="3" fillId="0" borderId="31" xfId="0" applyFont="1" applyBorder="1" applyAlignment="1">
      <alignment horizontal="center"/>
    </xf>
    <xf numFmtId="14" fontId="3" fillId="4" borderId="39" xfId="0" applyNumberFormat="1" applyFont="1" applyFill="1" applyBorder="1"/>
    <xf numFmtId="14" fontId="3" fillId="0" borderId="26" xfId="0" applyNumberFormat="1" applyFont="1" applyBorder="1" applyAlignment="1">
      <alignment horizontal="center" vertical="center"/>
    </xf>
    <xf numFmtId="14" fontId="3" fillId="0" borderId="22" xfId="0" applyNumberFormat="1" applyFont="1" applyBorder="1"/>
    <xf numFmtId="0" fontId="3" fillId="0" borderId="65" xfId="0" applyFont="1" applyBorder="1" applyAlignment="1">
      <alignment vertical="center" wrapText="1"/>
    </xf>
    <xf numFmtId="14" fontId="3" fillId="0" borderId="31" xfId="0" applyNumberFormat="1" applyFont="1" applyBorder="1"/>
    <xf numFmtId="0" fontId="3" fillId="0" borderId="83" xfId="0" applyFont="1" applyBorder="1" applyAlignment="1">
      <alignment vertical="center" wrapText="1"/>
    </xf>
    <xf numFmtId="0" fontId="3" fillId="0" borderId="84" xfId="0" applyFont="1" applyBorder="1" applyAlignment="1">
      <alignment vertical="center" wrapText="1"/>
    </xf>
    <xf numFmtId="0" fontId="9" fillId="0" borderId="85" xfId="0" applyFont="1" applyBorder="1" applyAlignment="1">
      <alignment horizontal="center" vertical="center"/>
    </xf>
    <xf numFmtId="14" fontId="3" fillId="0" borderId="55" xfId="0" applyNumberFormat="1" applyFont="1" applyBorder="1" applyAlignment="1">
      <alignment vertical="center"/>
    </xf>
    <xf numFmtId="14" fontId="3" fillId="0" borderId="29" xfId="0" applyNumberFormat="1" applyFont="1" applyBorder="1" applyAlignment="1">
      <alignment vertical="center"/>
    </xf>
    <xf numFmtId="16" fontId="3" fillId="0" borderId="46" xfId="0" applyNumberFormat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4" fontId="3" fillId="0" borderId="30" xfId="0" applyNumberFormat="1" applyFont="1" applyBorder="1" applyAlignment="1">
      <alignment vertical="center"/>
    </xf>
    <xf numFmtId="0" fontId="0" fillId="0" borderId="86" xfId="0" applyBorder="1"/>
    <xf numFmtId="16" fontId="3" fillId="0" borderId="10" xfId="0" applyNumberFormat="1" applyFont="1" applyBorder="1"/>
    <xf numFmtId="0" fontId="9" fillId="0" borderId="53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/>
    </xf>
    <xf numFmtId="0" fontId="9" fillId="0" borderId="87" xfId="0" applyFont="1" applyBorder="1" applyAlignment="1">
      <alignment horizontal="center" vertical="center"/>
    </xf>
    <xf numFmtId="0" fontId="3" fillId="0" borderId="87" xfId="0" applyFont="1" applyBorder="1" applyAlignment="1">
      <alignment vertical="center"/>
    </xf>
    <xf numFmtId="0" fontId="3" fillId="0" borderId="87" xfId="0" applyFont="1" applyBorder="1"/>
    <xf numFmtId="0" fontId="10" fillId="0" borderId="87" xfId="0" applyFont="1" applyBorder="1" applyAlignment="1">
      <alignment horizontal="center" vertical="center"/>
    </xf>
    <xf numFmtId="0" fontId="3" fillId="0" borderId="87" xfId="0" applyFont="1" applyBorder="1" applyAlignment="1">
      <alignment horizontal="center"/>
    </xf>
    <xf numFmtId="0" fontId="3" fillId="0" borderId="87" xfId="0" applyFont="1" applyBorder="1" applyAlignment="1">
      <alignment horizontal="center" vertical="center"/>
    </xf>
    <xf numFmtId="16" fontId="3" fillId="0" borderId="87" xfId="0" applyNumberFormat="1" applyFont="1" applyBorder="1"/>
    <xf numFmtId="14" fontId="3" fillId="0" borderId="87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0" fillId="0" borderId="74" xfId="0" applyFont="1" applyBorder="1" applyAlignment="1">
      <alignment horizontal="center" vertical="center"/>
    </xf>
    <xf numFmtId="0" fontId="3" fillId="4" borderId="88" xfId="0" applyFont="1" applyFill="1" applyBorder="1" applyAlignment="1">
      <alignment horizontal="center" vertical="center"/>
    </xf>
    <xf numFmtId="0" fontId="3" fillId="4" borderId="87" xfId="0" applyFont="1" applyFill="1" applyBorder="1" applyAlignment="1">
      <alignment horizontal="center"/>
    </xf>
    <xf numFmtId="0" fontId="3" fillId="4" borderId="87" xfId="0" applyFont="1" applyFill="1" applyBorder="1"/>
    <xf numFmtId="0" fontId="3" fillId="4" borderId="58" xfId="0" applyFont="1" applyFill="1" applyBorder="1"/>
    <xf numFmtId="0" fontId="3" fillId="4" borderId="58" xfId="0" applyFont="1" applyFill="1" applyBorder="1" applyAlignment="1">
      <alignment horizontal="center"/>
    </xf>
    <xf numFmtId="0" fontId="3" fillId="4" borderId="72" xfId="0" applyFont="1" applyFill="1" applyBorder="1"/>
    <xf numFmtId="0" fontId="3" fillId="4" borderId="87" xfId="0" applyFont="1" applyFill="1" applyBorder="1" applyAlignment="1">
      <alignment horizontal="center" vertical="center"/>
    </xf>
    <xf numFmtId="0" fontId="3" fillId="0" borderId="89" xfId="0" applyFont="1" applyBorder="1" applyAlignment="1">
      <alignment vertical="center" wrapText="1"/>
    </xf>
    <xf numFmtId="0" fontId="9" fillId="0" borderId="86" xfId="0" applyFont="1" applyBorder="1" applyAlignment="1">
      <alignment horizontal="center" vertical="center"/>
    </xf>
    <xf numFmtId="0" fontId="3" fillId="0" borderId="79" xfId="0" applyFont="1" applyBorder="1" applyAlignment="1">
      <alignment vertical="center" wrapText="1"/>
    </xf>
    <xf numFmtId="0" fontId="3" fillId="0" borderId="73" xfId="0" applyFont="1" applyBorder="1" applyAlignment="1">
      <alignment vertical="center" wrapText="1"/>
    </xf>
    <xf numFmtId="0" fontId="3" fillId="0" borderId="76" xfId="0" applyFont="1" applyBorder="1" applyAlignment="1">
      <alignment vertical="center"/>
    </xf>
    <xf numFmtId="16" fontId="3" fillId="0" borderId="29" xfId="0" applyNumberFormat="1" applyFont="1" applyBorder="1" applyAlignment="1">
      <alignment vertical="center"/>
    </xf>
    <xf numFmtId="0" fontId="9" fillId="0" borderId="90" xfId="0" applyFont="1" applyBorder="1" applyAlignment="1">
      <alignment horizontal="center" vertical="center"/>
    </xf>
    <xf numFmtId="0" fontId="3" fillId="0" borderId="91" xfId="0" applyFont="1" applyBorder="1" applyAlignment="1">
      <alignment vertical="center" wrapText="1"/>
    </xf>
    <xf numFmtId="0" fontId="3" fillId="0" borderId="92" xfId="0" applyFont="1" applyBorder="1" applyAlignment="1">
      <alignment vertical="center"/>
    </xf>
    <xf numFmtId="164" fontId="3" fillId="0" borderId="91" xfId="0" applyNumberFormat="1" applyFont="1" applyBorder="1" applyAlignment="1">
      <alignment vertical="center"/>
    </xf>
    <xf numFmtId="0" fontId="9" fillId="0" borderId="93" xfId="0" applyFont="1" applyBorder="1" applyAlignment="1">
      <alignment horizontal="center" vertical="center"/>
    </xf>
    <xf numFmtId="0" fontId="10" fillId="0" borderId="92" xfId="0" applyFont="1" applyBorder="1" applyAlignment="1">
      <alignment horizontal="center" vertical="center"/>
    </xf>
    <xf numFmtId="0" fontId="3" fillId="0" borderId="94" xfId="0" applyFont="1" applyBorder="1" applyAlignment="1">
      <alignment horizontal="center" vertical="center"/>
    </xf>
    <xf numFmtId="0" fontId="3" fillId="0" borderId="94" xfId="0" applyFont="1" applyBorder="1" applyAlignment="1">
      <alignment vertical="center"/>
    </xf>
    <xf numFmtId="0" fontId="3" fillId="0" borderId="95" xfId="0" applyFont="1" applyBorder="1" applyAlignment="1">
      <alignment vertical="center"/>
    </xf>
    <xf numFmtId="16" fontId="3" fillId="0" borderId="94" xfId="0" applyNumberFormat="1" applyFont="1" applyBorder="1" applyAlignment="1">
      <alignment vertical="center"/>
    </xf>
    <xf numFmtId="0" fontId="3" fillId="0" borderId="96" xfId="0" applyFont="1" applyBorder="1" applyAlignment="1">
      <alignment horizontal="center" vertical="center"/>
    </xf>
    <xf numFmtId="14" fontId="3" fillId="0" borderId="94" xfId="0" applyNumberFormat="1" applyFont="1" applyBorder="1" applyAlignment="1">
      <alignment vertical="center"/>
    </xf>
    <xf numFmtId="14" fontId="3" fillId="0" borderId="58" xfId="0" applyNumberFormat="1" applyFont="1" applyBorder="1" applyAlignment="1">
      <alignment vertical="center"/>
    </xf>
    <xf numFmtId="0" fontId="3" fillId="4" borderId="46" xfId="0" applyFont="1" applyFill="1" applyBorder="1" applyAlignment="1">
      <alignment vertical="center"/>
    </xf>
    <xf numFmtId="0" fontId="3" fillId="0" borderId="29" xfId="0" applyFont="1" applyBorder="1" applyAlignment="1">
      <alignment vertical="center" wrapText="1"/>
    </xf>
    <xf numFmtId="0" fontId="3" fillId="4" borderId="97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vertical="center" wrapText="1"/>
    </xf>
    <xf numFmtId="14" fontId="0" fillId="0" borderId="29" xfId="0" applyNumberFormat="1" applyBorder="1" applyAlignment="1">
      <alignment vertical="center"/>
    </xf>
    <xf numFmtId="14" fontId="3" fillId="0" borderId="32" xfId="0" applyNumberFormat="1" applyFont="1" applyBorder="1" applyAlignment="1">
      <alignment vertical="center"/>
    </xf>
    <xf numFmtId="164" fontId="3" fillId="0" borderId="36" xfId="0" applyNumberFormat="1" applyFont="1" applyBorder="1" applyAlignment="1">
      <alignment vertical="center"/>
    </xf>
    <xf numFmtId="0" fontId="9" fillId="0" borderId="98" xfId="0" applyFont="1" applyBorder="1" applyAlignment="1">
      <alignment horizontal="center" vertical="center"/>
    </xf>
    <xf numFmtId="0" fontId="3" fillId="0" borderId="99" xfId="0" applyFont="1" applyBorder="1" applyAlignment="1">
      <alignment vertical="center" wrapText="1"/>
    </xf>
    <xf numFmtId="16" fontId="3" fillId="0" borderId="55" xfId="0" applyNumberFormat="1" applyFont="1" applyBorder="1"/>
    <xf numFmtId="16" fontId="3" fillId="0" borderId="32" xfId="0" applyNumberFormat="1" applyFont="1" applyBorder="1" applyAlignment="1">
      <alignment vertical="center"/>
    </xf>
    <xf numFmtId="0" fontId="3" fillId="0" borderId="29" xfId="0" applyFont="1" applyBorder="1" applyAlignment="1">
      <alignment horizontal="right" vertical="center"/>
    </xf>
    <xf numFmtId="14" fontId="3" fillId="0" borderId="29" xfId="0" applyNumberFormat="1" applyFont="1" applyBorder="1" applyAlignment="1">
      <alignment horizontal="right" vertical="center"/>
    </xf>
    <xf numFmtId="0" fontId="3" fillId="0" borderId="32" xfId="0" applyFont="1" applyBorder="1" applyAlignment="1">
      <alignment vertical="center" wrapText="1"/>
    </xf>
    <xf numFmtId="14" fontId="3" fillId="0" borderId="32" xfId="0" applyNumberFormat="1" applyFont="1" applyBorder="1" applyAlignment="1">
      <alignment horizontal="right" vertical="center"/>
    </xf>
    <xf numFmtId="165" fontId="3" fillId="0" borderId="29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vertical="center" wrapText="1"/>
    </xf>
    <xf numFmtId="16" fontId="3" fillId="0" borderId="39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9" fillId="0" borderId="58" xfId="0" applyFont="1" applyBorder="1" applyAlignment="1">
      <alignment horizontal="center" vertical="center"/>
    </xf>
    <xf numFmtId="0" fontId="10" fillId="0" borderId="100" xfId="0" applyFont="1" applyBorder="1" applyAlignment="1">
      <alignment horizontal="center" vertical="center"/>
    </xf>
    <xf numFmtId="0" fontId="3" fillId="0" borderId="101" xfId="0" applyFont="1" applyBorder="1" applyAlignment="1">
      <alignment horizontal="center" vertical="center"/>
    </xf>
    <xf numFmtId="0" fontId="3" fillId="0" borderId="102" xfId="0" applyFont="1" applyBorder="1" applyAlignment="1">
      <alignment horizontal="center" vertical="center"/>
    </xf>
    <xf numFmtId="0" fontId="3" fillId="0" borderId="101" xfId="0" applyFont="1" applyBorder="1" applyAlignment="1">
      <alignment vertical="center"/>
    </xf>
    <xf numFmtId="16" fontId="3" fillId="0" borderId="103" xfId="0" applyNumberFormat="1" applyFont="1" applyBorder="1"/>
    <xf numFmtId="0" fontId="3" fillId="0" borderId="104" xfId="0" applyFont="1" applyBorder="1"/>
    <xf numFmtId="0" fontId="3" fillId="0" borderId="8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3" fillId="4" borderId="24" xfId="0" applyNumberFormat="1" applyFont="1" applyFill="1" applyBorder="1" applyAlignment="1">
      <alignment vertical="center"/>
    </xf>
    <xf numFmtId="0" fontId="3" fillId="0" borderId="24" xfId="0" applyFont="1" applyBorder="1"/>
    <xf numFmtId="14" fontId="3" fillId="4" borderId="25" xfId="0" applyNumberFormat="1" applyFont="1" applyFill="1" applyBorder="1" applyAlignment="1">
      <alignment vertical="center"/>
    </xf>
    <xf numFmtId="0" fontId="3" fillId="0" borderId="105" xfId="0" applyFont="1" applyBorder="1" applyAlignment="1">
      <alignment vertical="center"/>
    </xf>
    <xf numFmtId="0" fontId="3" fillId="0" borderId="10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9" xfId="0" applyFont="1" applyBorder="1"/>
    <xf numFmtId="0" fontId="0" fillId="0" borderId="0" xfId="0"/>
    <xf numFmtId="0" fontId="4" fillId="0" borderId="10" xfId="0" applyFont="1" applyBorder="1"/>
    <xf numFmtId="0" fontId="5" fillId="0" borderId="4" xfId="0" applyFont="1" applyBorder="1" applyAlignment="1">
      <alignment horizontal="center" vertical="center"/>
    </xf>
    <xf numFmtId="0" fontId="4" fillId="0" borderId="11" xfId="0" applyFont="1" applyBorder="1"/>
    <xf numFmtId="0" fontId="6" fillId="0" borderId="5" xfId="0" applyFont="1" applyBorder="1" applyAlignment="1">
      <alignment horizontal="left" vertical="center"/>
    </xf>
    <xf numFmtId="0" fontId="4" fillId="0" borderId="6" xfId="0" applyFont="1" applyBorder="1"/>
    <xf numFmtId="0" fontId="4" fillId="0" borderId="7" xfId="0" applyFont="1" applyBorder="1"/>
    <xf numFmtId="0" fontId="6" fillId="0" borderId="12" xfId="0" applyFont="1" applyBorder="1" applyAlignment="1">
      <alignment horizontal="left" vertical="center"/>
    </xf>
    <xf numFmtId="0" fontId="4" fillId="0" borderId="13" xfId="0" applyFont="1" applyBorder="1"/>
    <xf numFmtId="0" fontId="4" fillId="0" borderId="14" xfId="0" applyFont="1" applyBorder="1"/>
    <xf numFmtId="0" fontId="6" fillId="0" borderId="16" xfId="0" applyFont="1" applyBorder="1" applyAlignment="1">
      <alignment horizontal="left" vertical="center" wrapText="1"/>
    </xf>
    <xf numFmtId="0" fontId="4" fillId="0" borderId="17" xfId="0" applyFont="1" applyBorder="1"/>
    <xf numFmtId="0" fontId="4" fillId="0" borderId="18" xfId="0" applyFont="1" applyBorder="1"/>
    <xf numFmtId="0" fontId="3" fillId="4" borderId="82" xfId="0" applyFont="1" applyFill="1" applyBorder="1" applyAlignment="1">
      <alignment vertical="center"/>
    </xf>
    <xf numFmtId="164" fontId="3" fillId="0" borderId="82" xfId="0" applyNumberFormat="1" applyFont="1" applyBorder="1" applyAlignment="1">
      <alignment vertical="center"/>
    </xf>
    <xf numFmtId="0" fontId="9" fillId="0" borderId="82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14" fontId="3" fillId="0" borderId="82" xfId="0" applyNumberFormat="1" applyFont="1" applyBorder="1" applyAlignment="1">
      <alignment vertical="center"/>
    </xf>
    <xf numFmtId="164" fontId="3" fillId="4" borderId="58" xfId="0" applyNumberFormat="1" applyFont="1" applyFill="1" applyBorder="1" applyAlignment="1">
      <alignment vertical="center"/>
    </xf>
    <xf numFmtId="0" fontId="9" fillId="4" borderId="58" xfId="0" applyFont="1" applyFill="1" applyBorder="1" applyAlignment="1">
      <alignment horizontal="center" vertical="center"/>
    </xf>
    <xf numFmtId="0" fontId="10" fillId="4" borderId="58" xfId="0" applyFont="1" applyFill="1" applyBorder="1" applyAlignment="1">
      <alignment horizontal="center" vertical="center"/>
    </xf>
    <xf numFmtId="14" fontId="3" fillId="4" borderId="58" xfId="0" applyNumberFormat="1" applyFont="1" applyFill="1" applyBorder="1" applyAlignment="1">
      <alignment horizontal="center" vertical="center"/>
    </xf>
    <xf numFmtId="14" fontId="3" fillId="4" borderId="58" xfId="0" applyNumberFormat="1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vertical="center"/>
    </xf>
    <xf numFmtId="16" fontId="3" fillId="4" borderId="30" xfId="0" applyNumberFormat="1" applyFont="1" applyFill="1" applyBorder="1"/>
    <xf numFmtId="14" fontId="3" fillId="4" borderId="30" xfId="0" applyNumberFormat="1" applyFont="1" applyFill="1" applyBorder="1" applyAlignment="1">
      <alignment vertical="center"/>
    </xf>
    <xf numFmtId="0" fontId="3" fillId="4" borderId="106" xfId="0" applyFont="1" applyFill="1" applyBorder="1" applyAlignment="1">
      <alignment vertical="center" wrapText="1"/>
    </xf>
    <xf numFmtId="0" fontId="3" fillId="4" borderId="46" xfId="0" applyFont="1" applyFill="1" applyBorder="1" applyAlignment="1">
      <alignment horizontal="center" vertical="center"/>
    </xf>
    <xf numFmtId="0" fontId="3" fillId="4" borderId="8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vertical="center"/>
    </xf>
    <xf numFmtId="0" fontId="3" fillId="4" borderId="94" xfId="0" applyFont="1" applyFill="1" applyBorder="1" applyAlignment="1">
      <alignment vertical="center"/>
    </xf>
    <xf numFmtId="0" fontId="3" fillId="4" borderId="94" xfId="0" applyFont="1" applyFill="1" applyBorder="1" applyAlignment="1">
      <alignment horizontal="center" vertical="center"/>
    </xf>
    <xf numFmtId="0" fontId="3" fillId="4" borderId="30" xfId="0" applyFont="1" applyFill="1" applyBorder="1"/>
    <xf numFmtId="0" fontId="3" fillId="4" borderId="30" xfId="0" applyFont="1" applyFill="1" applyBorder="1" applyAlignment="1">
      <alignment horizontal="center"/>
    </xf>
    <xf numFmtId="0" fontId="3" fillId="4" borderId="32" xfId="0" applyFont="1" applyFill="1" applyBorder="1"/>
    <xf numFmtId="0" fontId="3" fillId="4" borderId="32" xfId="0" applyFont="1" applyFill="1" applyBorder="1" applyAlignment="1">
      <alignment horizontal="center"/>
    </xf>
    <xf numFmtId="0" fontId="3" fillId="4" borderId="55" xfId="0" applyFont="1" applyFill="1" applyBorder="1"/>
    <xf numFmtId="0" fontId="3" fillId="4" borderId="55" xfId="0" applyFont="1" applyFill="1" applyBorder="1" applyAlignment="1">
      <alignment horizontal="center"/>
    </xf>
    <xf numFmtId="0" fontId="3" fillId="4" borderId="22" xfId="0" applyFont="1" applyFill="1" applyBorder="1"/>
    <xf numFmtId="0" fontId="3" fillId="4" borderId="22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/>
    </xf>
    <xf numFmtId="0" fontId="3" fillId="4" borderId="11" xfId="0" applyFont="1" applyFill="1" applyBorder="1"/>
    <xf numFmtId="0" fontId="2" fillId="4" borderId="31" xfId="0" applyFont="1" applyFill="1" applyBorder="1" applyAlignment="1">
      <alignment horizontal="center" vertical="center"/>
    </xf>
    <xf numFmtId="0" fontId="3" fillId="4" borderId="104" xfId="0" applyFont="1" applyFill="1" applyBorder="1" applyAlignment="1">
      <alignment horizontal="center" vertical="center"/>
    </xf>
    <xf numFmtId="0" fontId="3" fillId="4" borderId="46" xfId="0" applyFont="1" applyFill="1" applyBorder="1"/>
    <xf numFmtId="0" fontId="3" fillId="4" borderId="4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EE00"/>
      <color rgb="FFCA3A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866775</xdr:colOff>
      <xdr:row>0</xdr:row>
      <xdr:rowOff>0</xdr:rowOff>
    </xdr:from>
    <xdr:ext cx="1485900" cy="8953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70"/>
  <sheetViews>
    <sheetView tabSelected="1" zoomScale="80" zoomScaleNormal="80" workbookViewId="0">
      <pane xSplit="4" ySplit="4" topLeftCell="R91" activePane="bottomRight" state="frozen"/>
      <selection pane="topRight" activeCell="E1" sqref="E1"/>
      <selection pane="bottomLeft" activeCell="A5" sqref="A5"/>
      <selection pane="bottomRight" activeCell="X95" sqref="X95:AC108"/>
    </sheetView>
  </sheetViews>
  <sheetFormatPr baseColWidth="10" defaultColWidth="14.453125" defaultRowHeight="15" customHeight="1" x14ac:dyDescent="0.35"/>
  <cols>
    <col min="1" max="1" width="5.453125" customWidth="1"/>
    <col min="2" max="2" width="19.6328125" customWidth="1"/>
    <col min="3" max="3" width="18.90625" customWidth="1"/>
    <col min="4" max="4" width="49.08984375" customWidth="1"/>
    <col min="5" max="5" width="11.453125" customWidth="1"/>
    <col min="6" max="7" width="7.453125" customWidth="1"/>
    <col min="8" max="8" width="11.6328125" bestFit="1" customWidth="1"/>
    <col min="9" max="9" width="12.08984375" bestFit="1" customWidth="1"/>
    <col min="10" max="10" width="9.6328125" customWidth="1"/>
    <col min="11" max="11" width="8.6328125" customWidth="1"/>
    <col min="12" max="12" width="8" bestFit="1" customWidth="1"/>
    <col min="13" max="13" width="12.08984375" bestFit="1" customWidth="1"/>
    <col min="14" max="14" width="8.453125" bestFit="1" customWidth="1"/>
    <col min="15" max="15" width="7.453125" customWidth="1"/>
    <col min="16" max="16" width="12.36328125" bestFit="1" customWidth="1"/>
    <col min="17" max="17" width="7.453125" customWidth="1"/>
    <col min="18" max="18" width="11.90625" customWidth="1"/>
    <col min="19" max="26" width="7.453125" customWidth="1"/>
    <col min="27" max="28" width="7.453125" style="50" customWidth="1"/>
    <col min="29" max="29" width="7.453125" customWidth="1"/>
    <col min="30" max="30" width="8.90625" style="50" customWidth="1"/>
    <col min="31" max="31" width="8.90625" customWidth="1"/>
    <col min="32" max="33" width="7.453125" customWidth="1"/>
    <col min="34" max="34" width="10.1796875" bestFit="1" customWidth="1"/>
    <col min="35" max="35" width="7.453125" customWidth="1"/>
    <col min="36" max="37" width="18.453125" customWidth="1"/>
    <col min="38" max="38" width="44" customWidth="1"/>
  </cols>
  <sheetData>
    <row r="1" spans="1:38" ht="26.25" customHeight="1" x14ac:dyDescent="0.35">
      <c r="A1" s="338"/>
      <c r="B1" s="339"/>
      <c r="C1" s="339"/>
      <c r="D1" s="340"/>
      <c r="E1" s="344" t="s">
        <v>0</v>
      </c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40"/>
      <c r="AH1" s="346" t="s">
        <v>1</v>
      </c>
      <c r="AI1" s="347"/>
      <c r="AJ1" s="347"/>
      <c r="AK1" s="348"/>
      <c r="AL1" s="1"/>
    </row>
    <row r="2" spans="1:38" ht="26.25" customHeight="1" x14ac:dyDescent="0.35">
      <c r="A2" s="341"/>
      <c r="B2" s="342"/>
      <c r="C2" s="342"/>
      <c r="D2" s="343"/>
      <c r="E2" s="345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2"/>
      <c r="W2" s="342"/>
      <c r="X2" s="342"/>
      <c r="Y2" s="342"/>
      <c r="Z2" s="342"/>
      <c r="AA2" s="342"/>
      <c r="AB2" s="342"/>
      <c r="AC2" s="342"/>
      <c r="AD2" s="342"/>
      <c r="AE2" s="342"/>
      <c r="AF2" s="342"/>
      <c r="AG2" s="343"/>
      <c r="AH2" s="349" t="s">
        <v>2</v>
      </c>
      <c r="AI2" s="350"/>
      <c r="AJ2" s="350"/>
      <c r="AK2" s="351"/>
      <c r="AL2" s="2"/>
    </row>
    <row r="3" spans="1:38" ht="26.25" customHeight="1" x14ac:dyDescent="0.35">
      <c r="A3" s="341"/>
      <c r="B3" s="342"/>
      <c r="C3" s="342"/>
      <c r="D3" s="343"/>
      <c r="E3" s="345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3"/>
      <c r="AH3" s="352" t="s">
        <v>3</v>
      </c>
      <c r="AI3" s="353"/>
      <c r="AJ3" s="353"/>
      <c r="AK3" s="354"/>
      <c r="AL3" s="2"/>
    </row>
    <row r="4" spans="1:38" ht="126" customHeight="1" thickBot="1" x14ac:dyDescent="0.4">
      <c r="A4" s="70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71" t="s">
        <v>30</v>
      </c>
      <c r="AB4" s="4" t="s">
        <v>31</v>
      </c>
      <c r="AC4" s="4" t="s">
        <v>32</v>
      </c>
      <c r="AD4" s="4" t="s">
        <v>33</v>
      </c>
      <c r="AE4" s="72" t="s">
        <v>34</v>
      </c>
      <c r="AF4" s="4" t="s">
        <v>35</v>
      </c>
      <c r="AG4" s="4" t="s">
        <v>36</v>
      </c>
      <c r="AH4" s="4" t="s">
        <v>37</v>
      </c>
      <c r="AI4" s="4" t="s">
        <v>38</v>
      </c>
      <c r="AJ4" s="3" t="s">
        <v>39</v>
      </c>
      <c r="AK4" s="3" t="s">
        <v>40</v>
      </c>
      <c r="AL4" s="73" t="s">
        <v>41</v>
      </c>
    </row>
    <row r="5" spans="1:38" s="30" customFormat="1" ht="28" x14ac:dyDescent="0.35">
      <c r="A5" s="75">
        <v>1</v>
      </c>
      <c r="B5" s="76" t="s">
        <v>42</v>
      </c>
      <c r="C5" s="77">
        <v>71784259</v>
      </c>
      <c r="D5" s="76" t="s">
        <v>43</v>
      </c>
      <c r="E5" s="78"/>
      <c r="F5" s="79"/>
      <c r="G5" s="80"/>
      <c r="H5" s="81"/>
      <c r="I5" s="81"/>
      <c r="J5" s="81"/>
      <c r="K5" s="81"/>
      <c r="L5" s="81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1"/>
      <c r="Y5" s="82"/>
      <c r="Z5" s="83"/>
      <c r="AA5" s="84"/>
      <c r="AB5" s="85"/>
      <c r="AC5" s="85"/>
      <c r="AD5" s="86"/>
      <c r="AE5" s="87"/>
      <c r="AF5" s="78"/>
      <c r="AG5" s="78"/>
      <c r="AH5" s="88"/>
      <c r="AI5" s="84">
        <f>5+5+7+5+9+9+7+3+3+5+5+5+7</f>
        <v>75</v>
      </c>
      <c r="AJ5" s="89">
        <v>46146</v>
      </c>
      <c r="AK5" s="89">
        <v>46146</v>
      </c>
      <c r="AL5" s="90" t="s">
        <v>62</v>
      </c>
    </row>
    <row r="6" spans="1:38" s="30" customFormat="1" ht="28" x14ac:dyDescent="0.35">
      <c r="A6" s="91">
        <v>2</v>
      </c>
      <c r="B6" s="5" t="s">
        <v>42</v>
      </c>
      <c r="C6" s="6">
        <v>71784259</v>
      </c>
      <c r="D6" s="5" t="s">
        <v>43</v>
      </c>
      <c r="E6" s="17"/>
      <c r="F6" s="52"/>
      <c r="G6" s="33"/>
      <c r="H6" s="49"/>
      <c r="I6" s="49"/>
      <c r="J6" s="49"/>
      <c r="K6" s="49"/>
      <c r="L6" s="49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9"/>
      <c r="Y6" s="48"/>
      <c r="Z6" s="34"/>
      <c r="AA6" s="15">
        <v>9</v>
      </c>
      <c r="AB6" s="16"/>
      <c r="AC6" s="16"/>
      <c r="AD6" s="36"/>
      <c r="AE6" s="18"/>
      <c r="AF6" s="13"/>
      <c r="AG6" s="7"/>
      <c r="AH6" s="19"/>
      <c r="AI6" s="11"/>
      <c r="AJ6" s="12">
        <v>46137</v>
      </c>
      <c r="AK6" s="12">
        <v>46137</v>
      </c>
      <c r="AL6" s="92" t="s">
        <v>61</v>
      </c>
    </row>
    <row r="7" spans="1:38" s="30" customFormat="1" ht="28" x14ac:dyDescent="0.35">
      <c r="A7" s="91">
        <v>2</v>
      </c>
      <c r="B7" s="5" t="s">
        <v>42</v>
      </c>
      <c r="C7" s="6">
        <v>71784259</v>
      </c>
      <c r="D7" s="5" t="s">
        <v>43</v>
      </c>
      <c r="E7" s="17"/>
      <c r="F7" s="52"/>
      <c r="G7" s="33"/>
      <c r="H7" s="49"/>
      <c r="I7" s="49"/>
      <c r="J7" s="49"/>
      <c r="K7" s="49"/>
      <c r="L7" s="49"/>
      <c r="M7" s="48"/>
      <c r="N7" s="48"/>
      <c r="O7" s="48"/>
      <c r="P7" s="48"/>
      <c r="Q7" s="48"/>
      <c r="R7" s="48"/>
      <c r="S7" s="48"/>
      <c r="T7" s="48"/>
      <c r="U7" s="48"/>
      <c r="V7" s="48"/>
      <c r="W7" s="56"/>
      <c r="X7" s="59"/>
      <c r="Y7" s="56"/>
      <c r="Z7" s="60"/>
      <c r="AA7" s="149">
        <v>2.2999999999999998</v>
      </c>
      <c r="AB7" s="150"/>
      <c r="AC7" s="150"/>
      <c r="AD7" s="36"/>
      <c r="AE7" s="18"/>
      <c r="AF7" s="13"/>
      <c r="AG7" s="7"/>
      <c r="AH7" s="19"/>
      <c r="AI7" s="11"/>
      <c r="AJ7" s="12">
        <v>46139</v>
      </c>
      <c r="AK7" s="12">
        <v>46139</v>
      </c>
      <c r="AL7" s="92" t="s">
        <v>61</v>
      </c>
    </row>
    <row r="8" spans="1:38" s="30" customFormat="1" ht="28" x14ac:dyDescent="0.35">
      <c r="A8" s="91">
        <v>2</v>
      </c>
      <c r="B8" s="5" t="s">
        <v>42</v>
      </c>
      <c r="C8" s="6">
        <v>71784259</v>
      </c>
      <c r="D8" s="5" t="s">
        <v>43</v>
      </c>
      <c r="E8" s="17"/>
      <c r="F8" s="52"/>
      <c r="G8" s="33"/>
      <c r="H8" s="49"/>
      <c r="I8" s="49"/>
      <c r="J8" s="49"/>
      <c r="K8" s="49"/>
      <c r="L8" s="49"/>
      <c r="M8" s="48"/>
      <c r="N8" s="48"/>
      <c r="O8" s="48"/>
      <c r="P8" s="48"/>
      <c r="Q8" s="48"/>
      <c r="R8" s="48"/>
      <c r="S8" s="48"/>
      <c r="T8" s="48"/>
      <c r="U8" s="48"/>
      <c r="V8" s="48"/>
      <c r="W8" s="56"/>
      <c r="X8" s="59"/>
      <c r="Y8" s="56"/>
      <c r="Z8" s="60"/>
      <c r="AA8" s="149">
        <v>2.8</v>
      </c>
      <c r="AB8" s="150"/>
      <c r="AC8" s="150"/>
      <c r="AD8" s="36"/>
      <c r="AE8" s="18"/>
      <c r="AF8" s="13"/>
      <c r="AG8" s="7"/>
      <c r="AH8" s="19"/>
      <c r="AI8" s="11"/>
      <c r="AJ8" s="12">
        <v>46140</v>
      </c>
      <c r="AK8" s="12">
        <v>46140</v>
      </c>
      <c r="AL8" s="92" t="s">
        <v>61</v>
      </c>
    </row>
    <row r="9" spans="1:38" s="30" customFormat="1" ht="28" x14ac:dyDescent="0.35">
      <c r="A9" s="91">
        <v>4</v>
      </c>
      <c r="B9" s="5" t="s">
        <v>42</v>
      </c>
      <c r="C9" s="6">
        <v>71784259</v>
      </c>
      <c r="D9" s="5" t="s">
        <v>43</v>
      </c>
      <c r="E9" s="17"/>
      <c r="F9" s="52"/>
      <c r="G9" s="33"/>
      <c r="H9" s="49"/>
      <c r="I9" s="49"/>
      <c r="J9" s="49"/>
      <c r="K9" s="49"/>
      <c r="L9" s="49"/>
      <c r="M9" s="48"/>
      <c r="N9" s="48"/>
      <c r="O9" s="48"/>
      <c r="P9" s="48"/>
      <c r="Q9" s="48"/>
      <c r="R9" s="48"/>
      <c r="S9" s="48"/>
      <c r="T9" s="48"/>
      <c r="U9" s="48"/>
      <c r="V9" s="48"/>
      <c r="W9" s="56"/>
      <c r="X9" s="59"/>
      <c r="Y9" s="56"/>
      <c r="Z9" s="60"/>
      <c r="AA9" s="149">
        <v>5</v>
      </c>
      <c r="AB9" s="150"/>
      <c r="AC9" s="150"/>
      <c r="AD9" s="36"/>
      <c r="AE9" s="18"/>
      <c r="AF9" s="13"/>
      <c r="AG9" s="7"/>
      <c r="AH9" s="19"/>
      <c r="AI9" s="11"/>
      <c r="AJ9" s="12">
        <v>46150</v>
      </c>
      <c r="AK9" s="12">
        <v>46150</v>
      </c>
      <c r="AL9" s="92" t="s">
        <v>63</v>
      </c>
    </row>
    <row r="10" spans="1:38" s="30" customFormat="1" ht="28" x14ac:dyDescent="0.35">
      <c r="A10" s="91">
        <v>3</v>
      </c>
      <c r="B10" s="5" t="s">
        <v>42</v>
      </c>
      <c r="C10" s="6">
        <v>71784259</v>
      </c>
      <c r="D10" s="5" t="s">
        <v>43</v>
      </c>
      <c r="E10" s="17"/>
      <c r="F10" s="52"/>
      <c r="G10" s="33"/>
      <c r="H10" s="49"/>
      <c r="I10" s="49"/>
      <c r="J10" s="49"/>
      <c r="K10" s="49"/>
      <c r="L10" s="49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56"/>
      <c r="X10" s="59"/>
      <c r="Y10" s="56"/>
      <c r="Z10" s="60"/>
      <c r="AA10" s="149">
        <v>9.6999999999999993</v>
      </c>
      <c r="AB10" s="150"/>
      <c r="AC10" s="150"/>
      <c r="AD10" s="16"/>
      <c r="AE10" s="18"/>
      <c r="AF10" s="13"/>
      <c r="AG10" s="7"/>
      <c r="AH10" s="19"/>
      <c r="AI10" s="11"/>
      <c r="AJ10" s="12">
        <v>46151</v>
      </c>
      <c r="AK10" s="12">
        <v>46151</v>
      </c>
      <c r="AL10" s="92" t="s">
        <v>63</v>
      </c>
    </row>
    <row r="11" spans="1:38" s="30" customFormat="1" ht="28" x14ac:dyDescent="0.35">
      <c r="A11" s="91"/>
      <c r="B11" s="5" t="s">
        <v>42</v>
      </c>
      <c r="C11" s="6">
        <v>71784259</v>
      </c>
      <c r="D11" s="5" t="s">
        <v>43</v>
      </c>
      <c r="E11" s="17"/>
      <c r="F11" s="52"/>
      <c r="G11" s="33"/>
      <c r="H11" s="49"/>
      <c r="I11" s="49"/>
      <c r="J11" s="49"/>
      <c r="K11" s="49"/>
      <c r="L11" s="49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56"/>
      <c r="X11" s="59"/>
      <c r="Y11" s="56"/>
      <c r="Z11" s="60"/>
      <c r="AA11" s="149">
        <v>5</v>
      </c>
      <c r="AB11" s="150"/>
      <c r="AC11" s="150"/>
      <c r="AD11" s="36"/>
      <c r="AE11" s="18"/>
      <c r="AF11" s="13"/>
      <c r="AG11" s="7"/>
      <c r="AH11" s="19"/>
      <c r="AI11" s="11"/>
      <c r="AJ11" s="12">
        <v>46157</v>
      </c>
      <c r="AK11" s="12">
        <v>46157</v>
      </c>
      <c r="AL11" s="92" t="s">
        <v>63</v>
      </c>
    </row>
    <row r="12" spans="1:38" s="30" customFormat="1" ht="30.5" customHeight="1" x14ac:dyDescent="0.35">
      <c r="A12" s="91">
        <v>4</v>
      </c>
      <c r="B12" s="5" t="s">
        <v>42</v>
      </c>
      <c r="C12" s="6">
        <v>71784259</v>
      </c>
      <c r="D12" s="277" t="s">
        <v>43</v>
      </c>
      <c r="E12" s="271"/>
      <c r="F12" s="269"/>
      <c r="G12" s="278"/>
      <c r="H12" s="49"/>
      <c r="I12" s="49"/>
      <c r="J12" s="49"/>
      <c r="K12" s="49"/>
      <c r="L12" s="49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56"/>
      <c r="X12" s="59"/>
      <c r="Y12" s="56"/>
      <c r="Z12" s="60"/>
      <c r="AA12" s="149">
        <v>10.5</v>
      </c>
      <c r="AB12" s="150"/>
      <c r="AC12" s="150"/>
      <c r="AD12" s="36"/>
      <c r="AE12" s="18"/>
      <c r="AF12" s="17"/>
      <c r="AG12" s="17"/>
      <c r="AH12" s="165"/>
      <c r="AI12" s="15"/>
      <c r="AJ12" s="12">
        <v>46158</v>
      </c>
      <c r="AK12" s="12">
        <v>46158</v>
      </c>
      <c r="AL12" s="92" t="s">
        <v>63</v>
      </c>
    </row>
    <row r="13" spans="1:38" s="30" customFormat="1" ht="30.5" customHeight="1" thickBot="1" x14ac:dyDescent="0.4">
      <c r="A13" s="205"/>
      <c r="B13" s="14" t="s">
        <v>42</v>
      </c>
      <c r="C13" s="44">
        <v>71784259</v>
      </c>
      <c r="D13" s="6" t="s">
        <v>43</v>
      </c>
      <c r="E13" s="23"/>
      <c r="F13" s="27"/>
      <c r="G13" s="202"/>
      <c r="H13" s="250"/>
      <c r="I13" s="250"/>
      <c r="J13" s="250"/>
      <c r="K13" s="250"/>
      <c r="L13" s="250"/>
      <c r="M13" s="249"/>
      <c r="N13" s="249"/>
      <c r="O13" s="249"/>
      <c r="P13" s="255">
        <v>46122</v>
      </c>
      <c r="Q13" s="249"/>
      <c r="R13" s="249"/>
      <c r="S13" s="249"/>
      <c r="T13" s="249"/>
      <c r="U13" s="249"/>
      <c r="V13" s="249"/>
      <c r="W13" s="99"/>
      <c r="X13" s="102"/>
      <c r="Y13" s="99"/>
      <c r="Z13" s="370"/>
      <c r="AA13" s="370">
        <v>3.8</v>
      </c>
      <c r="AB13" s="370"/>
      <c r="AC13" s="370"/>
      <c r="AD13" s="232"/>
      <c r="AE13" s="95"/>
      <c r="AF13" s="95"/>
      <c r="AG13" s="95"/>
      <c r="AH13" s="197"/>
      <c r="AI13" s="96"/>
      <c r="AJ13" s="223">
        <v>46161</v>
      </c>
      <c r="AK13" s="223">
        <v>46161</v>
      </c>
      <c r="AL13" s="198" t="s">
        <v>63</v>
      </c>
    </row>
    <row r="14" spans="1:38" s="30" customFormat="1" ht="30" customHeight="1" x14ac:dyDescent="0.35">
      <c r="A14" s="258">
        <v>6</v>
      </c>
      <c r="B14" s="162" t="s">
        <v>42</v>
      </c>
      <c r="C14" s="107">
        <v>8104327</v>
      </c>
      <c r="D14" s="107" t="s">
        <v>44</v>
      </c>
      <c r="E14" s="184"/>
      <c r="F14" s="266"/>
      <c r="G14" s="267"/>
      <c r="H14" s="268"/>
      <c r="I14" s="268"/>
      <c r="J14" s="268"/>
      <c r="K14" s="268"/>
      <c r="L14" s="268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32"/>
      <c r="X14" s="133">
        <v>3</v>
      </c>
      <c r="Y14" s="132"/>
      <c r="Z14" s="282"/>
      <c r="AA14" s="365"/>
      <c r="AB14" s="219"/>
      <c r="AC14" s="219"/>
      <c r="AD14" s="42"/>
      <c r="AE14" s="240"/>
      <c r="AF14" s="235"/>
      <c r="AG14" s="235"/>
      <c r="AH14" s="236"/>
      <c r="AI14" s="166"/>
      <c r="AJ14" s="263">
        <v>46142</v>
      </c>
      <c r="AK14" s="263">
        <v>46142</v>
      </c>
      <c r="AL14" s="187" t="s">
        <v>67</v>
      </c>
    </row>
    <row r="15" spans="1:38" s="30" customFormat="1" ht="30" customHeight="1" x14ac:dyDescent="0.35">
      <c r="A15" s="269">
        <v>6</v>
      </c>
      <c r="B15" s="270" t="s">
        <v>42</v>
      </c>
      <c r="C15" s="270">
        <v>8104327</v>
      </c>
      <c r="D15" s="270" t="s">
        <v>44</v>
      </c>
      <c r="E15" s="271"/>
      <c r="F15" s="269"/>
      <c r="G15" s="272"/>
      <c r="H15" s="273"/>
      <c r="I15" s="273"/>
      <c r="J15" s="273"/>
      <c r="K15" s="273"/>
      <c r="L15" s="273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81"/>
      <c r="X15" s="280"/>
      <c r="Y15" s="281"/>
      <c r="Z15" s="281">
        <v>6</v>
      </c>
      <c r="AA15" s="285"/>
      <c r="AB15" s="285"/>
      <c r="AC15" s="285"/>
      <c r="AD15" s="274"/>
      <c r="AE15" s="271"/>
      <c r="AF15" s="271"/>
      <c r="AG15" s="271"/>
      <c r="AH15" s="275"/>
      <c r="AI15" s="274"/>
      <c r="AJ15" s="276">
        <v>46142</v>
      </c>
      <c r="AK15" s="276">
        <v>46142</v>
      </c>
      <c r="AL15" s="234" t="s">
        <v>67</v>
      </c>
    </row>
    <row r="16" spans="1:38" s="30" customFormat="1" ht="30" customHeight="1" x14ac:dyDescent="0.35">
      <c r="A16" s="205">
        <v>6</v>
      </c>
      <c r="B16" s="14" t="s">
        <v>42</v>
      </c>
      <c r="C16" s="44">
        <v>8104327</v>
      </c>
      <c r="D16" s="6" t="s">
        <v>44</v>
      </c>
      <c r="E16" s="249"/>
      <c r="F16" s="201"/>
      <c r="G16" s="202"/>
      <c r="H16" s="250"/>
      <c r="I16" s="250"/>
      <c r="J16" s="250"/>
      <c r="K16" s="250"/>
      <c r="L16" s="250"/>
      <c r="M16" s="249"/>
      <c r="N16" s="249"/>
      <c r="O16" s="249"/>
      <c r="P16" s="249"/>
      <c r="Q16" s="249"/>
      <c r="R16" s="249"/>
      <c r="S16" s="249"/>
      <c r="T16" s="249"/>
      <c r="U16" s="249"/>
      <c r="V16" s="249"/>
      <c r="W16" s="99"/>
      <c r="X16" s="102"/>
      <c r="Y16" s="99"/>
      <c r="Z16" s="99"/>
      <c r="AA16" s="365"/>
      <c r="AB16" s="219"/>
      <c r="AC16" s="219">
        <f>8+7</f>
        <v>15</v>
      </c>
      <c r="AD16" s="42"/>
      <c r="AE16" s="240"/>
      <c r="AF16" s="13"/>
      <c r="AG16" s="13"/>
      <c r="AH16" s="74"/>
      <c r="AI16" s="21"/>
      <c r="AJ16" s="192">
        <v>46143</v>
      </c>
      <c r="AK16" s="192">
        <v>46144</v>
      </c>
      <c r="AL16" s="187" t="s">
        <v>66</v>
      </c>
    </row>
    <row r="17" spans="1:38" s="30" customFormat="1" ht="28" x14ac:dyDescent="0.35">
      <c r="A17" s="91"/>
      <c r="B17" s="6" t="s">
        <v>42</v>
      </c>
      <c r="C17" s="31">
        <v>8104327</v>
      </c>
      <c r="D17" s="45" t="s">
        <v>44</v>
      </c>
      <c r="E17" s="48"/>
      <c r="F17" s="28"/>
      <c r="G17" s="33"/>
      <c r="H17" s="49"/>
      <c r="I17" s="49"/>
      <c r="J17" s="49"/>
      <c r="K17" s="49"/>
      <c r="L17" s="49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56"/>
      <c r="X17" s="59"/>
      <c r="Y17" s="56"/>
      <c r="Z17" s="56"/>
      <c r="AA17" s="60"/>
      <c r="AB17" s="60">
        <v>1.5</v>
      </c>
      <c r="AC17" s="60"/>
      <c r="AD17" s="43"/>
      <c r="AE17" s="18"/>
      <c r="AF17" s="13"/>
      <c r="AG17" s="7"/>
      <c r="AH17" s="19"/>
      <c r="AI17" s="11"/>
      <c r="AJ17" s="12">
        <v>46147</v>
      </c>
      <c r="AK17" s="12">
        <v>46147</v>
      </c>
      <c r="AL17" s="128" t="s">
        <v>68</v>
      </c>
    </row>
    <row r="18" spans="1:38" s="30" customFormat="1" ht="28" x14ac:dyDescent="0.35">
      <c r="A18" s="91">
        <v>8</v>
      </c>
      <c r="B18" s="6" t="s">
        <v>42</v>
      </c>
      <c r="C18" s="31">
        <v>8104327</v>
      </c>
      <c r="D18" s="45" t="s">
        <v>44</v>
      </c>
      <c r="E18" s="48"/>
      <c r="F18" s="28"/>
      <c r="G18" s="33"/>
      <c r="H18" s="49"/>
      <c r="I18" s="49"/>
      <c r="J18" s="49"/>
      <c r="K18" s="49"/>
      <c r="L18" s="49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56"/>
      <c r="X18" s="59"/>
      <c r="Y18" s="56"/>
      <c r="Z18" s="56"/>
      <c r="AA18" s="60">
        <v>1</v>
      </c>
      <c r="AB18" s="60"/>
      <c r="AC18" s="60"/>
      <c r="AD18" s="43"/>
      <c r="AE18" s="18"/>
      <c r="AF18" s="13"/>
      <c r="AG18" s="7"/>
      <c r="AH18" s="19"/>
      <c r="AI18" s="11"/>
      <c r="AJ18" s="12">
        <v>46147</v>
      </c>
      <c r="AK18" s="12">
        <v>46147</v>
      </c>
      <c r="AL18" s="92" t="s">
        <v>68</v>
      </c>
    </row>
    <row r="19" spans="1:38" s="30" customFormat="1" ht="28" x14ac:dyDescent="0.35">
      <c r="A19" s="91">
        <v>8</v>
      </c>
      <c r="B19" s="6" t="s">
        <v>42</v>
      </c>
      <c r="C19" s="31">
        <v>8104327</v>
      </c>
      <c r="D19" s="45" t="s">
        <v>44</v>
      </c>
      <c r="E19" s="48"/>
      <c r="F19" s="28"/>
      <c r="G19" s="33"/>
      <c r="H19" s="49"/>
      <c r="I19" s="49"/>
      <c r="J19" s="49"/>
      <c r="K19" s="49"/>
      <c r="L19" s="49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56"/>
      <c r="X19" s="59"/>
      <c r="Y19" s="56"/>
      <c r="Z19" s="56"/>
      <c r="AA19" s="60"/>
      <c r="AB19" s="60">
        <v>4</v>
      </c>
      <c r="AC19" s="60"/>
      <c r="AD19" s="43"/>
      <c r="AE19" s="18"/>
      <c r="AF19" s="13"/>
      <c r="AG19" s="7"/>
      <c r="AH19" s="19"/>
      <c r="AI19" s="11"/>
      <c r="AJ19" s="12">
        <v>46148</v>
      </c>
      <c r="AK19" s="12">
        <v>46148</v>
      </c>
      <c r="AL19" s="92" t="s">
        <v>69</v>
      </c>
    </row>
    <row r="20" spans="1:38" s="30" customFormat="1" ht="42" x14ac:dyDescent="0.35">
      <c r="A20" s="91">
        <v>8</v>
      </c>
      <c r="B20" s="6" t="s">
        <v>42</v>
      </c>
      <c r="C20" s="31">
        <v>8104327</v>
      </c>
      <c r="D20" s="45" t="s">
        <v>44</v>
      </c>
      <c r="E20" s="48"/>
      <c r="F20" s="28"/>
      <c r="G20" s="33"/>
      <c r="H20" s="49"/>
      <c r="I20" s="49"/>
      <c r="J20" s="49"/>
      <c r="K20" s="49"/>
      <c r="L20" s="49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56"/>
      <c r="X20" s="59"/>
      <c r="Y20" s="56"/>
      <c r="Z20" s="56"/>
      <c r="AA20" s="60"/>
      <c r="AB20" s="60"/>
      <c r="AC20" s="60"/>
      <c r="AD20" s="43"/>
      <c r="AE20" s="18"/>
      <c r="AF20" s="13"/>
      <c r="AG20" s="7"/>
      <c r="AH20" s="19"/>
      <c r="AI20" s="11">
        <f>7+7+11+7+10+7</f>
        <v>49</v>
      </c>
      <c r="AJ20" s="12">
        <v>46150</v>
      </c>
      <c r="AK20" s="12">
        <v>46153</v>
      </c>
      <c r="AL20" s="92" t="s">
        <v>70</v>
      </c>
    </row>
    <row r="21" spans="1:38" s="30" customFormat="1" ht="28" x14ac:dyDescent="0.35">
      <c r="A21" s="91">
        <v>8</v>
      </c>
      <c r="B21" s="6" t="s">
        <v>42</v>
      </c>
      <c r="C21" s="31">
        <v>8104327</v>
      </c>
      <c r="D21" s="45" t="s">
        <v>44</v>
      </c>
      <c r="E21" s="48"/>
      <c r="F21" s="28"/>
      <c r="G21" s="33"/>
      <c r="H21" s="49"/>
      <c r="I21" s="49"/>
      <c r="J21" s="49"/>
      <c r="K21" s="49"/>
      <c r="L21" s="49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56"/>
      <c r="X21" s="59"/>
      <c r="Y21" s="56"/>
      <c r="Z21" s="56"/>
      <c r="AA21" s="60"/>
      <c r="AB21" s="60"/>
      <c r="AC21" s="60">
        <v>7</v>
      </c>
      <c r="AD21" s="43"/>
      <c r="AE21" s="18"/>
      <c r="AF21" s="13"/>
      <c r="AG21" s="7"/>
      <c r="AH21" s="19"/>
      <c r="AI21" s="11"/>
      <c r="AJ21" s="12">
        <v>46152</v>
      </c>
      <c r="AK21" s="12">
        <v>46152</v>
      </c>
      <c r="AL21" s="92" t="s">
        <v>63</v>
      </c>
    </row>
    <row r="22" spans="1:38" s="30" customFormat="1" ht="28" x14ac:dyDescent="0.35">
      <c r="A22" s="91">
        <v>7</v>
      </c>
      <c r="B22" s="6" t="s">
        <v>42</v>
      </c>
      <c r="C22" s="31">
        <v>8104327</v>
      </c>
      <c r="D22" s="45" t="s">
        <v>44</v>
      </c>
      <c r="E22" s="48"/>
      <c r="F22" s="28"/>
      <c r="G22" s="33"/>
      <c r="H22" s="49"/>
      <c r="I22" s="49"/>
      <c r="J22" s="49"/>
      <c r="K22" s="49"/>
      <c r="L22" s="49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56"/>
      <c r="X22" s="59"/>
      <c r="Y22" s="56"/>
      <c r="Z22" s="56"/>
      <c r="AA22" s="60"/>
      <c r="AB22" s="60">
        <v>2.8</v>
      </c>
      <c r="AC22" s="150"/>
      <c r="AD22" s="36"/>
      <c r="AE22" s="18"/>
      <c r="AF22" s="13"/>
      <c r="AG22" s="7"/>
      <c r="AH22" s="19"/>
      <c r="AI22" s="11"/>
      <c r="AJ22" s="12">
        <v>46153</v>
      </c>
      <c r="AK22" s="12">
        <v>46153</v>
      </c>
      <c r="AL22" s="92" t="s">
        <v>64</v>
      </c>
    </row>
    <row r="23" spans="1:38" s="30" customFormat="1" ht="28" x14ac:dyDescent="0.35">
      <c r="A23" s="91"/>
      <c r="B23" s="6" t="s">
        <v>42</v>
      </c>
      <c r="C23" s="31">
        <v>8104327</v>
      </c>
      <c r="D23" s="45" t="s">
        <v>44</v>
      </c>
      <c r="E23" s="48"/>
      <c r="F23" s="28"/>
      <c r="G23" s="33"/>
      <c r="H23" s="49"/>
      <c r="I23" s="49"/>
      <c r="J23" s="49"/>
      <c r="K23" s="49"/>
      <c r="L23" s="49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56"/>
      <c r="X23" s="59"/>
      <c r="Y23" s="56"/>
      <c r="Z23" s="56"/>
      <c r="AA23" s="60"/>
      <c r="AB23" s="60">
        <v>1</v>
      </c>
      <c r="AC23" s="60"/>
      <c r="AD23" s="43"/>
      <c r="AE23" s="18"/>
      <c r="AF23" s="13"/>
      <c r="AG23" s="7"/>
      <c r="AH23" s="19"/>
      <c r="AI23" s="11"/>
      <c r="AJ23" s="12">
        <v>46156</v>
      </c>
      <c r="AK23" s="12">
        <v>46156</v>
      </c>
      <c r="AL23" s="128" t="s">
        <v>65</v>
      </c>
    </row>
    <row r="24" spans="1:38" s="30" customFormat="1" ht="28" x14ac:dyDescent="0.35">
      <c r="A24" s="91"/>
      <c r="B24" s="6" t="s">
        <v>42</v>
      </c>
      <c r="C24" s="31">
        <v>8104327</v>
      </c>
      <c r="D24" s="45" t="s">
        <v>44</v>
      </c>
      <c r="E24" s="48"/>
      <c r="F24" s="28"/>
      <c r="G24" s="33"/>
      <c r="H24" s="49"/>
      <c r="I24" s="49"/>
      <c r="J24" s="49"/>
      <c r="K24" s="49"/>
      <c r="L24" s="49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56"/>
      <c r="X24" s="59"/>
      <c r="Y24" s="56"/>
      <c r="Z24" s="56"/>
      <c r="AA24" s="60">
        <v>1.2</v>
      </c>
      <c r="AB24" s="60"/>
      <c r="AC24" s="60"/>
      <c r="AD24" s="43"/>
      <c r="AE24" s="18"/>
      <c r="AF24" s="13"/>
      <c r="AG24" s="7"/>
      <c r="AH24" s="19"/>
      <c r="AI24" s="11"/>
      <c r="AJ24" s="12">
        <v>46156</v>
      </c>
      <c r="AK24" s="12">
        <v>46156</v>
      </c>
      <c r="AL24" s="128" t="s">
        <v>65</v>
      </c>
    </row>
    <row r="25" spans="1:38" s="30" customFormat="1" ht="28" x14ac:dyDescent="0.35">
      <c r="A25" s="91">
        <v>8</v>
      </c>
      <c r="B25" s="6" t="s">
        <v>42</v>
      </c>
      <c r="C25" s="31">
        <v>8104327</v>
      </c>
      <c r="D25" s="45" t="s">
        <v>44</v>
      </c>
      <c r="E25" s="48"/>
      <c r="F25" s="28"/>
      <c r="G25" s="33"/>
      <c r="H25" s="49"/>
      <c r="I25" s="49"/>
      <c r="J25" s="49"/>
      <c r="K25" s="49"/>
      <c r="L25" s="49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56"/>
      <c r="X25" s="59"/>
      <c r="Y25" s="56"/>
      <c r="Z25" s="56"/>
      <c r="AA25" s="60"/>
      <c r="AB25" s="60"/>
      <c r="AC25" s="60">
        <v>9</v>
      </c>
      <c r="AD25" s="43"/>
      <c r="AE25" s="18"/>
      <c r="AF25" s="13"/>
      <c r="AG25" s="7"/>
      <c r="AH25" s="19"/>
      <c r="AI25" s="11"/>
      <c r="AJ25" s="12">
        <v>46159</v>
      </c>
      <c r="AK25" s="12">
        <v>46160</v>
      </c>
      <c r="AL25" s="92" t="s">
        <v>71</v>
      </c>
    </row>
    <row r="26" spans="1:38" s="30" customFormat="1" ht="28" x14ac:dyDescent="0.35">
      <c r="A26" s="91"/>
      <c r="B26" s="6"/>
      <c r="C26" s="31"/>
      <c r="D26" s="45"/>
      <c r="E26" s="48"/>
      <c r="F26" s="28"/>
      <c r="G26" s="33"/>
      <c r="H26" s="49"/>
      <c r="I26" s="49"/>
      <c r="J26" s="49"/>
      <c r="K26" s="49"/>
      <c r="L26" s="49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56"/>
      <c r="X26" s="59"/>
      <c r="Y26" s="56"/>
      <c r="Z26" s="56"/>
      <c r="AA26" s="60"/>
      <c r="AB26" s="60"/>
      <c r="AC26" s="60">
        <v>3.5</v>
      </c>
      <c r="AD26" s="43"/>
      <c r="AE26" s="18"/>
      <c r="AF26" s="13"/>
      <c r="AG26" s="7"/>
      <c r="AH26" s="19"/>
      <c r="AI26" s="11"/>
      <c r="AJ26" s="12">
        <v>46160</v>
      </c>
      <c r="AK26" s="12">
        <v>46161</v>
      </c>
      <c r="AL26" s="92" t="s">
        <v>71</v>
      </c>
    </row>
    <row r="27" spans="1:38" s="30" customFormat="1" ht="14.5" x14ac:dyDescent="0.35">
      <c r="A27" s="91">
        <v>8</v>
      </c>
      <c r="B27" s="6" t="s">
        <v>42</v>
      </c>
      <c r="C27" s="31">
        <v>8104327</v>
      </c>
      <c r="D27" s="45" t="s">
        <v>44</v>
      </c>
      <c r="E27" s="48"/>
      <c r="F27" s="28"/>
      <c r="G27" s="33"/>
      <c r="H27" s="49"/>
      <c r="I27" s="49"/>
      <c r="J27" s="49"/>
      <c r="K27" s="49"/>
      <c r="L27" s="49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56"/>
      <c r="X27" s="59"/>
      <c r="Y27" s="56"/>
      <c r="Z27" s="56"/>
      <c r="AA27" s="60"/>
      <c r="AB27" s="60">
        <v>1</v>
      </c>
      <c r="AC27" s="60"/>
      <c r="AD27" s="43"/>
      <c r="AE27" s="18"/>
      <c r="AF27" s="13"/>
      <c r="AG27" s="7"/>
      <c r="AH27" s="19"/>
      <c r="AI27" s="11"/>
      <c r="AJ27" s="12">
        <v>46162</v>
      </c>
      <c r="AK27" s="12">
        <v>46162</v>
      </c>
      <c r="AL27" s="92" t="s">
        <v>72</v>
      </c>
    </row>
    <row r="28" spans="1:38" s="30" customFormat="1" thickBot="1" x14ac:dyDescent="0.4">
      <c r="A28" s="91">
        <v>9</v>
      </c>
      <c r="B28" s="6" t="s">
        <v>42</v>
      </c>
      <c r="C28" s="31">
        <v>8104327</v>
      </c>
      <c r="D28" s="45" t="s">
        <v>44</v>
      </c>
      <c r="E28" s="48"/>
      <c r="F28" s="28"/>
      <c r="G28" s="33"/>
      <c r="H28" s="49"/>
      <c r="I28" s="49"/>
      <c r="J28" s="49"/>
      <c r="K28" s="49"/>
      <c r="L28" s="49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56"/>
      <c r="X28" s="59"/>
      <c r="Y28" s="56"/>
      <c r="Z28" s="56"/>
      <c r="AA28" s="60">
        <v>1</v>
      </c>
      <c r="AB28" s="60"/>
      <c r="AC28" s="60"/>
      <c r="AD28" s="43"/>
      <c r="AE28" s="18"/>
      <c r="AF28" s="13"/>
      <c r="AG28" s="7"/>
      <c r="AH28" s="19"/>
      <c r="AI28" s="11"/>
      <c r="AJ28" s="12">
        <v>46162</v>
      </c>
      <c r="AK28" s="12">
        <v>46162</v>
      </c>
      <c r="AL28" s="92" t="s">
        <v>72</v>
      </c>
    </row>
    <row r="29" spans="1:38" s="67" customFormat="1" ht="28" x14ac:dyDescent="0.35">
      <c r="A29" s="111">
        <v>11</v>
      </c>
      <c r="B29" s="112" t="s">
        <v>42</v>
      </c>
      <c r="C29" s="113">
        <v>8071112</v>
      </c>
      <c r="D29" s="114" t="s">
        <v>56</v>
      </c>
      <c r="E29" s="115"/>
      <c r="F29" s="116"/>
      <c r="G29" s="117"/>
      <c r="H29" s="118"/>
      <c r="I29" s="118"/>
      <c r="J29" s="118"/>
      <c r="K29" s="118"/>
      <c r="L29" s="118"/>
      <c r="M29" s="115"/>
      <c r="N29" s="115"/>
      <c r="O29" s="115"/>
      <c r="P29" s="251">
        <v>46113</v>
      </c>
      <c r="Q29" s="115"/>
      <c r="R29" s="115"/>
      <c r="S29" s="132"/>
      <c r="T29" s="132"/>
      <c r="U29" s="132"/>
      <c r="V29" s="132"/>
      <c r="W29" s="132"/>
      <c r="X29" s="133"/>
      <c r="Y29" s="132"/>
      <c r="Z29" s="132"/>
      <c r="AA29" s="134"/>
      <c r="AB29" s="134"/>
      <c r="AC29" s="134">
        <v>7</v>
      </c>
      <c r="AD29" s="120"/>
      <c r="AE29" s="121"/>
      <c r="AF29" s="122"/>
      <c r="AG29" s="122"/>
      <c r="AH29" s="123"/>
      <c r="AI29" s="124"/>
      <c r="AJ29" s="125">
        <v>46138</v>
      </c>
      <c r="AK29" s="125">
        <v>46138</v>
      </c>
      <c r="AL29" s="126" t="s">
        <v>75</v>
      </c>
    </row>
    <row r="30" spans="1:38" s="67" customFormat="1" ht="42" x14ac:dyDescent="0.35">
      <c r="A30" s="127">
        <v>13</v>
      </c>
      <c r="B30" s="53" t="s">
        <v>42</v>
      </c>
      <c r="C30" s="54">
        <v>8071112</v>
      </c>
      <c r="D30" s="55" t="s">
        <v>56</v>
      </c>
      <c r="E30" s="56"/>
      <c r="F30" s="57"/>
      <c r="G30" s="58"/>
      <c r="H30" s="59"/>
      <c r="I30" s="59"/>
      <c r="J30" s="59"/>
      <c r="K30" s="59"/>
      <c r="L30" s="59"/>
      <c r="M30" s="56"/>
      <c r="N30" s="56"/>
      <c r="O30" s="56"/>
      <c r="P30" s="56"/>
      <c r="Q30" s="56"/>
      <c r="R30" s="284"/>
      <c r="S30" s="281"/>
      <c r="T30" s="281"/>
      <c r="U30" s="281"/>
      <c r="V30" s="281"/>
      <c r="W30" s="281"/>
      <c r="X30" s="280"/>
      <c r="Y30" s="281"/>
      <c r="Z30" s="281"/>
      <c r="AA30" s="285"/>
      <c r="AB30" s="285"/>
      <c r="AC30" s="285">
        <v>7</v>
      </c>
      <c r="AD30" s="280"/>
      <c r="AE30" s="281"/>
      <c r="AF30" s="131"/>
      <c r="AG30" s="64"/>
      <c r="AH30" s="65"/>
      <c r="AI30" s="66"/>
      <c r="AJ30" s="35">
        <v>46143</v>
      </c>
      <c r="AK30" s="35">
        <v>46143</v>
      </c>
      <c r="AL30" s="254" t="s">
        <v>73</v>
      </c>
    </row>
    <row r="31" spans="1:38" s="67" customFormat="1" ht="42" x14ac:dyDescent="0.35">
      <c r="A31" s="130">
        <v>12</v>
      </c>
      <c r="B31" s="53" t="s">
        <v>42</v>
      </c>
      <c r="C31" s="54">
        <v>8071112</v>
      </c>
      <c r="D31" s="55" t="s">
        <v>56</v>
      </c>
      <c r="E31" s="99"/>
      <c r="F31" s="100"/>
      <c r="G31" s="101"/>
      <c r="H31" s="135"/>
      <c r="I31" s="102"/>
      <c r="J31" s="102"/>
      <c r="K31" s="102"/>
      <c r="L31" s="102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102"/>
      <c r="Y31" s="99"/>
      <c r="Z31" s="99"/>
      <c r="AA31" s="103"/>
      <c r="AB31" s="103"/>
      <c r="AC31" s="103">
        <v>7</v>
      </c>
      <c r="AD31" s="283"/>
      <c r="AE31" s="282"/>
      <c r="AF31" s="131"/>
      <c r="AG31" s="63"/>
      <c r="AH31" s="104"/>
      <c r="AI31" s="105"/>
      <c r="AJ31" s="106">
        <v>46145</v>
      </c>
      <c r="AK31" s="106">
        <v>46145</v>
      </c>
      <c r="AL31" s="254" t="s">
        <v>74</v>
      </c>
    </row>
    <row r="32" spans="1:38" s="67" customFormat="1" ht="28" x14ac:dyDescent="0.35">
      <c r="A32" s="127">
        <v>13</v>
      </c>
      <c r="B32" s="53" t="s">
        <v>42</v>
      </c>
      <c r="C32" s="54">
        <v>8071112</v>
      </c>
      <c r="D32" s="55" t="s">
        <v>56</v>
      </c>
      <c r="E32" s="56"/>
      <c r="F32" s="57"/>
      <c r="G32" s="58"/>
      <c r="H32" s="59"/>
      <c r="I32" s="59"/>
      <c r="J32" s="59"/>
      <c r="K32" s="59"/>
      <c r="L32" s="59"/>
      <c r="M32" s="56"/>
      <c r="N32" s="56"/>
      <c r="O32" s="56"/>
      <c r="P32" s="56"/>
      <c r="Q32" s="56"/>
      <c r="R32" s="56"/>
      <c r="S32" s="56"/>
      <c r="T32" s="56"/>
      <c r="U32" s="99"/>
      <c r="V32" s="99"/>
      <c r="W32" s="99"/>
      <c r="X32" s="102"/>
      <c r="Y32" s="99"/>
      <c r="Z32" s="99"/>
      <c r="AA32" s="103"/>
      <c r="AB32" s="103"/>
      <c r="AC32" s="279">
        <v>6</v>
      </c>
      <c r="AD32" s="280"/>
      <c r="AE32" s="281"/>
      <c r="AF32" s="131"/>
      <c r="AG32" s="64"/>
      <c r="AH32" s="65"/>
      <c r="AI32" s="66"/>
      <c r="AJ32" s="35">
        <v>46152</v>
      </c>
      <c r="AK32" s="35">
        <v>46152</v>
      </c>
      <c r="AL32" s="254" t="s">
        <v>76</v>
      </c>
    </row>
    <row r="33" spans="1:38" s="67" customFormat="1" ht="42" x14ac:dyDescent="0.35">
      <c r="A33" s="127">
        <v>13</v>
      </c>
      <c r="B33" s="53" t="s">
        <v>42</v>
      </c>
      <c r="C33" s="54">
        <v>8071112</v>
      </c>
      <c r="D33" s="55" t="s">
        <v>56</v>
      </c>
      <c r="E33" s="56"/>
      <c r="F33" s="57"/>
      <c r="G33" s="58"/>
      <c r="H33" s="59"/>
      <c r="I33" s="59"/>
      <c r="J33" s="59"/>
      <c r="K33" s="59"/>
      <c r="L33" s="59"/>
      <c r="M33" s="56"/>
      <c r="N33" s="56"/>
      <c r="O33" s="56"/>
      <c r="P33" s="56"/>
      <c r="Q33" s="56"/>
      <c r="R33" s="56"/>
      <c r="S33" s="56"/>
      <c r="T33" s="56"/>
      <c r="U33" s="99"/>
      <c r="V33" s="99"/>
      <c r="W33" s="99"/>
      <c r="X33" s="102"/>
      <c r="Y33" s="99"/>
      <c r="Z33" s="99"/>
      <c r="AA33" s="103"/>
      <c r="AB33" s="103"/>
      <c r="AC33" s="279">
        <v>7</v>
      </c>
      <c r="AD33" s="280"/>
      <c r="AE33" s="281"/>
      <c r="AF33" s="131"/>
      <c r="AG33" s="64"/>
      <c r="AH33" s="65"/>
      <c r="AI33" s="66"/>
      <c r="AJ33" s="35">
        <v>46160</v>
      </c>
      <c r="AK33" s="35">
        <v>46160</v>
      </c>
      <c r="AL33" s="254" t="s">
        <v>74</v>
      </c>
    </row>
    <row r="34" spans="1:38" s="67" customFormat="1" ht="32.4" customHeight="1" thickBot="1" x14ac:dyDescent="0.4">
      <c r="A34" s="127">
        <v>14</v>
      </c>
      <c r="B34" s="53" t="s">
        <v>42</v>
      </c>
      <c r="C34" s="54">
        <v>8071112</v>
      </c>
      <c r="D34" s="55" t="s">
        <v>56</v>
      </c>
      <c r="E34" s="56"/>
      <c r="F34" s="57"/>
      <c r="G34" s="58"/>
      <c r="H34" s="59"/>
      <c r="I34" s="59"/>
      <c r="J34" s="59"/>
      <c r="K34" s="59"/>
      <c r="L34" s="59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9">
        <v>27</v>
      </c>
      <c r="Y34" s="56"/>
      <c r="Z34" s="56"/>
      <c r="AA34" s="60"/>
      <c r="AB34" s="60"/>
      <c r="AC34" s="60"/>
      <c r="AD34" s="61"/>
      <c r="AE34" s="62"/>
      <c r="AF34" s="63"/>
      <c r="AG34" s="64"/>
      <c r="AH34" s="65"/>
      <c r="AI34" s="66"/>
      <c r="AJ34" s="35">
        <v>46154</v>
      </c>
      <c r="AK34" s="35">
        <v>46156</v>
      </c>
      <c r="AL34" s="128" t="s">
        <v>77</v>
      </c>
    </row>
    <row r="35" spans="1:38" s="67" customFormat="1" ht="42" x14ac:dyDescent="0.35">
      <c r="A35" s="111">
        <v>18</v>
      </c>
      <c r="B35" s="112" t="s">
        <v>42</v>
      </c>
      <c r="C35" s="113">
        <v>1076904658</v>
      </c>
      <c r="D35" s="113" t="s">
        <v>45</v>
      </c>
      <c r="E35" s="136"/>
      <c r="F35" s="116"/>
      <c r="G35" s="117"/>
      <c r="H35" s="137"/>
      <c r="I35" s="138"/>
      <c r="J35" s="113"/>
      <c r="K35" s="113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4"/>
      <c r="Y35" s="134"/>
      <c r="Z35" s="140"/>
      <c r="AA35" s="119"/>
      <c r="AB35" s="119"/>
      <c r="AC35" s="141">
        <v>7</v>
      </c>
      <c r="AD35" s="142"/>
      <c r="AE35" s="143"/>
      <c r="AF35" s="144"/>
      <c r="AG35" s="145"/>
      <c r="AH35" s="123"/>
      <c r="AI35" s="124"/>
      <c r="AJ35" s="125">
        <v>46143</v>
      </c>
      <c r="AK35" s="125">
        <v>46143</v>
      </c>
      <c r="AL35" s="126" t="s">
        <v>78</v>
      </c>
    </row>
    <row r="36" spans="1:38" s="67" customFormat="1" ht="28" x14ac:dyDescent="0.35">
      <c r="A36" s="127">
        <v>19</v>
      </c>
      <c r="B36" s="53" t="s">
        <v>42</v>
      </c>
      <c r="C36" s="54">
        <v>1076904658</v>
      </c>
      <c r="D36" s="54" t="s">
        <v>45</v>
      </c>
      <c r="E36" s="146"/>
      <c r="F36" s="100"/>
      <c r="G36" s="101"/>
      <c r="H36" s="147"/>
      <c r="I36" s="148"/>
      <c r="J36" s="98"/>
      <c r="K36" s="98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60"/>
      <c r="Y36" s="60"/>
      <c r="Z36" s="60"/>
      <c r="AA36" s="60">
        <v>8</v>
      </c>
      <c r="AB36" s="60"/>
      <c r="AC36" s="149"/>
      <c r="AD36" s="150"/>
      <c r="AE36" s="151"/>
      <c r="AF36" s="152"/>
      <c r="AG36" s="153"/>
      <c r="AH36" s="65"/>
      <c r="AI36" s="66"/>
      <c r="AJ36" s="35">
        <v>46144</v>
      </c>
      <c r="AK36" s="35">
        <v>46144</v>
      </c>
      <c r="AL36" s="128" t="s">
        <v>79</v>
      </c>
    </row>
    <row r="37" spans="1:38" s="67" customFormat="1" ht="42" x14ac:dyDescent="0.35">
      <c r="A37" s="127">
        <v>20</v>
      </c>
      <c r="B37" s="53" t="s">
        <v>42</v>
      </c>
      <c r="C37" s="54">
        <v>1076904658</v>
      </c>
      <c r="D37" s="54" t="s">
        <v>45</v>
      </c>
      <c r="E37" s="154"/>
      <c r="F37" s="57"/>
      <c r="G37" s="58"/>
      <c r="H37" s="155"/>
      <c r="I37" s="156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60"/>
      <c r="Y37" s="60"/>
      <c r="Z37" s="60"/>
      <c r="AA37" s="60"/>
      <c r="AB37" s="60"/>
      <c r="AC37" s="60">
        <v>8</v>
      </c>
      <c r="AD37" s="149"/>
      <c r="AE37" s="151"/>
      <c r="AF37" s="152"/>
      <c r="AG37" s="153"/>
      <c r="AH37" s="65"/>
      <c r="AI37" s="66"/>
      <c r="AJ37" s="35">
        <v>46145</v>
      </c>
      <c r="AK37" s="35">
        <v>46145</v>
      </c>
      <c r="AL37" s="128" t="s">
        <v>80</v>
      </c>
    </row>
    <row r="38" spans="1:38" s="67" customFormat="1" ht="42" x14ac:dyDescent="0.35">
      <c r="A38" s="157">
        <v>21</v>
      </c>
      <c r="B38" s="53" t="s">
        <v>42</v>
      </c>
      <c r="C38" s="54">
        <v>1076904658</v>
      </c>
      <c r="D38" s="54" t="s">
        <v>45</v>
      </c>
      <c r="E38" s="154"/>
      <c r="F38" s="57"/>
      <c r="G38" s="58"/>
      <c r="H38" s="155"/>
      <c r="I38" s="156"/>
      <c r="J38" s="54"/>
      <c r="K38" s="54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103">
        <v>8</v>
      </c>
      <c r="Y38" s="103"/>
      <c r="Z38" s="103"/>
      <c r="AA38" s="103"/>
      <c r="AB38" s="103"/>
      <c r="AC38" s="60"/>
      <c r="AD38" s="149"/>
      <c r="AE38" s="151"/>
      <c r="AF38" s="152"/>
      <c r="AG38" s="153"/>
      <c r="AH38" s="65"/>
      <c r="AI38" s="66"/>
      <c r="AJ38" s="35">
        <v>46148</v>
      </c>
      <c r="AK38" s="35">
        <v>46148</v>
      </c>
      <c r="AL38" s="128" t="s">
        <v>81</v>
      </c>
    </row>
    <row r="39" spans="1:38" s="67" customFormat="1" ht="42" x14ac:dyDescent="0.35">
      <c r="A39" s="157">
        <v>22</v>
      </c>
      <c r="B39" s="53" t="s">
        <v>42</v>
      </c>
      <c r="C39" s="54">
        <v>1076904658</v>
      </c>
      <c r="D39" s="54" t="s">
        <v>45</v>
      </c>
      <c r="E39" s="154"/>
      <c r="F39" s="57"/>
      <c r="G39" s="58"/>
      <c r="H39" s="155"/>
      <c r="I39" s="156"/>
      <c r="J39" s="54"/>
      <c r="K39" s="54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103">
        <v>8</v>
      </c>
      <c r="Y39" s="103"/>
      <c r="Z39" s="103"/>
      <c r="AA39" s="103"/>
      <c r="AB39" s="103"/>
      <c r="AC39" s="60"/>
      <c r="AD39" s="149"/>
      <c r="AE39" s="151"/>
      <c r="AF39" s="152"/>
      <c r="AG39" s="153"/>
      <c r="AH39" s="65"/>
      <c r="AI39" s="66"/>
      <c r="AJ39" s="35">
        <v>46149</v>
      </c>
      <c r="AK39" s="35">
        <v>46149</v>
      </c>
      <c r="AL39" s="128" t="s">
        <v>82</v>
      </c>
    </row>
    <row r="40" spans="1:38" s="67" customFormat="1" ht="28" x14ac:dyDescent="0.35">
      <c r="A40" s="157">
        <v>23</v>
      </c>
      <c r="B40" s="53" t="s">
        <v>42</v>
      </c>
      <c r="C40" s="54">
        <v>1076904658</v>
      </c>
      <c r="D40" s="54" t="s">
        <v>45</v>
      </c>
      <c r="E40" s="154"/>
      <c r="F40" s="57"/>
      <c r="G40" s="58"/>
      <c r="H40" s="155"/>
      <c r="I40" s="156"/>
      <c r="J40" s="54"/>
      <c r="K40" s="54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103"/>
      <c r="Y40" s="103"/>
      <c r="Z40" s="103"/>
      <c r="AA40" s="103"/>
      <c r="AB40" s="103"/>
      <c r="AC40" s="60">
        <v>6</v>
      </c>
      <c r="AD40" s="149"/>
      <c r="AE40" s="151"/>
      <c r="AF40" s="152"/>
      <c r="AG40" s="153"/>
      <c r="AH40" s="65"/>
      <c r="AI40" s="66"/>
      <c r="AJ40" s="35">
        <v>46152</v>
      </c>
      <c r="AK40" s="35">
        <v>46152</v>
      </c>
      <c r="AL40" s="128" t="s">
        <v>83</v>
      </c>
    </row>
    <row r="41" spans="1:38" s="67" customFormat="1" ht="42" x14ac:dyDescent="0.35">
      <c r="A41" s="157">
        <v>24</v>
      </c>
      <c r="B41" s="53" t="s">
        <v>42</v>
      </c>
      <c r="C41" s="54">
        <v>1076904658</v>
      </c>
      <c r="D41" s="54" t="s">
        <v>45</v>
      </c>
      <c r="E41" s="154"/>
      <c r="F41" s="57"/>
      <c r="G41" s="58"/>
      <c r="H41" s="155"/>
      <c r="I41" s="156"/>
      <c r="J41" s="54"/>
      <c r="K41" s="54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103"/>
      <c r="Y41" s="103"/>
      <c r="Z41" s="103"/>
      <c r="AA41" s="103"/>
      <c r="AB41" s="103"/>
      <c r="AC41" s="60"/>
      <c r="AD41" s="149"/>
      <c r="AE41" s="151"/>
      <c r="AF41" s="152"/>
      <c r="AG41" s="153"/>
      <c r="AH41" s="65"/>
      <c r="AI41" s="66">
        <f>12+17+17+17</f>
        <v>63</v>
      </c>
      <c r="AJ41" s="35">
        <v>46157</v>
      </c>
      <c r="AK41" s="35">
        <v>46161</v>
      </c>
      <c r="AL41" s="128" t="s">
        <v>70</v>
      </c>
    </row>
    <row r="42" spans="1:38" s="67" customFormat="1" ht="42" x14ac:dyDescent="0.35">
      <c r="A42" s="157">
        <v>25</v>
      </c>
      <c r="B42" s="53" t="s">
        <v>42</v>
      </c>
      <c r="C42" s="54">
        <v>1076904658</v>
      </c>
      <c r="D42" s="54" t="s">
        <v>45</v>
      </c>
      <c r="E42" s="154"/>
      <c r="F42" s="57"/>
      <c r="G42" s="58"/>
      <c r="H42" s="155"/>
      <c r="I42" s="156"/>
      <c r="J42" s="54"/>
      <c r="K42" s="54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103"/>
      <c r="Y42" s="103"/>
      <c r="Z42" s="103"/>
      <c r="AA42" s="103"/>
      <c r="AB42" s="103"/>
      <c r="AC42" s="60">
        <v>7</v>
      </c>
      <c r="AD42" s="149"/>
      <c r="AE42" s="151"/>
      <c r="AF42" s="152"/>
      <c r="AG42" s="153"/>
      <c r="AH42" s="65"/>
      <c r="AI42" s="66"/>
      <c r="AJ42" s="35">
        <v>46159</v>
      </c>
      <c r="AK42" s="35">
        <v>46159</v>
      </c>
      <c r="AL42" s="128" t="s">
        <v>73</v>
      </c>
    </row>
    <row r="43" spans="1:38" s="67" customFormat="1" ht="42" x14ac:dyDescent="0.35">
      <c r="A43" s="157">
        <v>25</v>
      </c>
      <c r="B43" s="53" t="s">
        <v>42</v>
      </c>
      <c r="C43" s="54">
        <v>1076904658</v>
      </c>
      <c r="D43" s="54" t="s">
        <v>45</v>
      </c>
      <c r="E43" s="154"/>
      <c r="F43" s="57"/>
      <c r="G43" s="58"/>
      <c r="H43" s="155"/>
      <c r="I43" s="156"/>
      <c r="J43" s="54"/>
      <c r="K43" s="54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103"/>
      <c r="Y43" s="103"/>
      <c r="Z43" s="103"/>
      <c r="AA43" s="103"/>
      <c r="AB43" s="103"/>
      <c r="AC43" s="60">
        <v>7</v>
      </c>
      <c r="AD43" s="149"/>
      <c r="AE43" s="151"/>
      <c r="AF43" s="152"/>
      <c r="AG43" s="153"/>
      <c r="AH43" s="65"/>
      <c r="AI43" s="66"/>
      <c r="AJ43" s="35">
        <v>46160</v>
      </c>
      <c r="AK43" s="35">
        <v>46160</v>
      </c>
      <c r="AL43" s="128" t="s">
        <v>73</v>
      </c>
    </row>
    <row r="44" spans="1:38" s="67" customFormat="1" ht="42" x14ac:dyDescent="0.35">
      <c r="A44" s="157">
        <v>23</v>
      </c>
      <c r="B44" s="53" t="s">
        <v>42</v>
      </c>
      <c r="C44" s="54">
        <v>1076904658</v>
      </c>
      <c r="D44" s="212" t="s">
        <v>45</v>
      </c>
      <c r="E44" s="213"/>
      <c r="F44" s="68"/>
      <c r="G44" s="69"/>
      <c r="H44" s="214"/>
      <c r="I44" s="215"/>
      <c r="J44" s="212"/>
      <c r="K44" s="212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7">
        <v>8</v>
      </c>
      <c r="Y44" s="217"/>
      <c r="Z44" s="217"/>
      <c r="AA44" s="217"/>
      <c r="AB44" s="217"/>
      <c r="AC44" s="218"/>
      <c r="AD44" s="149"/>
      <c r="AE44" s="151"/>
      <c r="AF44" s="219"/>
      <c r="AG44" s="151"/>
      <c r="AH44" s="220"/>
      <c r="AI44" s="149"/>
      <c r="AJ44" s="221">
        <v>46162</v>
      </c>
      <c r="AK44" s="221">
        <v>46162</v>
      </c>
      <c r="AL44" s="128" t="s">
        <v>84</v>
      </c>
    </row>
    <row r="45" spans="1:38" s="67" customFormat="1" ht="42" x14ac:dyDescent="0.35">
      <c r="A45" s="210"/>
      <c r="B45" s="211" t="s">
        <v>42</v>
      </c>
      <c r="C45" s="212">
        <v>1076904658</v>
      </c>
      <c r="D45" s="54" t="s">
        <v>45</v>
      </c>
      <c r="E45" s="154"/>
      <c r="F45" s="57"/>
      <c r="G45" s="58"/>
      <c r="H45" s="155"/>
      <c r="I45" s="156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60">
        <v>8</v>
      </c>
      <c r="Y45" s="60"/>
      <c r="Z45" s="60"/>
      <c r="AA45" s="60"/>
      <c r="AB45" s="60"/>
      <c r="AC45" s="60"/>
      <c r="AD45" s="60"/>
      <c r="AE45" s="54"/>
      <c r="AF45" s="60"/>
      <c r="AG45" s="54"/>
      <c r="AH45" s="248"/>
      <c r="AI45" s="60"/>
      <c r="AJ45" s="156">
        <v>46163</v>
      </c>
      <c r="AK45" s="156">
        <v>46163</v>
      </c>
      <c r="AL45" s="369" t="s">
        <v>74</v>
      </c>
    </row>
    <row r="46" spans="1:38" s="67" customFormat="1" ht="28.5" thickBot="1" x14ac:dyDescent="0.4">
      <c r="A46" s="210">
        <v>26</v>
      </c>
      <c r="B46" s="211" t="s">
        <v>42</v>
      </c>
      <c r="C46" s="212">
        <v>1076904658</v>
      </c>
      <c r="D46" s="216" t="s">
        <v>45</v>
      </c>
      <c r="E46" s="360"/>
      <c r="F46" s="361"/>
      <c r="G46" s="362"/>
      <c r="H46" s="363"/>
      <c r="I46" s="364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7"/>
      <c r="Y46" s="217"/>
      <c r="Z46" s="217"/>
      <c r="AA46" s="217"/>
      <c r="AB46" s="217"/>
      <c r="AC46" s="217">
        <v>5</v>
      </c>
      <c r="AD46" s="365"/>
      <c r="AE46" s="366"/>
      <c r="AF46" s="219"/>
      <c r="AG46" s="366"/>
      <c r="AH46" s="367"/>
      <c r="AI46" s="365"/>
      <c r="AJ46" s="368">
        <v>46166</v>
      </c>
      <c r="AK46" s="368">
        <v>46166</v>
      </c>
      <c r="AL46" s="222" t="s">
        <v>107</v>
      </c>
    </row>
    <row r="47" spans="1:38" s="30" customFormat="1" ht="31.75" customHeight="1" x14ac:dyDescent="0.35">
      <c r="A47" s="193">
        <v>32</v>
      </c>
      <c r="B47" s="159" t="s">
        <v>42</v>
      </c>
      <c r="C47" s="159">
        <v>7715267</v>
      </c>
      <c r="D47" s="159" t="s">
        <v>55</v>
      </c>
      <c r="E47" s="160"/>
      <c r="F47" s="108"/>
      <c r="G47" s="80"/>
      <c r="H47" s="83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13"/>
      <c r="X47" s="119"/>
      <c r="Y47" s="119"/>
      <c r="Z47" s="113"/>
      <c r="AA47" s="119">
        <v>2</v>
      </c>
      <c r="AB47" s="119"/>
      <c r="AC47" s="119"/>
      <c r="AD47" s="83"/>
      <c r="AE47" s="159"/>
      <c r="AF47" s="159"/>
      <c r="AG47" s="159"/>
      <c r="AH47" s="194"/>
      <c r="AI47" s="83"/>
      <c r="AJ47" s="207">
        <v>46140</v>
      </c>
      <c r="AK47" s="207">
        <v>46140</v>
      </c>
      <c r="AL47" s="195" t="s">
        <v>85</v>
      </c>
    </row>
    <row r="48" spans="1:38" s="30" customFormat="1" ht="40.25" customHeight="1" x14ac:dyDescent="0.35">
      <c r="A48" s="190"/>
      <c r="B48" s="53" t="s">
        <v>42</v>
      </c>
      <c r="C48" s="31">
        <v>7715267</v>
      </c>
      <c r="D48" s="31" t="s">
        <v>55</v>
      </c>
      <c r="E48" s="32"/>
      <c r="F48" s="28"/>
      <c r="G48" s="33"/>
      <c r="H48" s="34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54"/>
      <c r="X48" s="60"/>
      <c r="Y48" s="60"/>
      <c r="Z48" s="54"/>
      <c r="AA48" s="60">
        <v>2</v>
      </c>
      <c r="AB48" s="60"/>
      <c r="AC48" s="149"/>
      <c r="AD48" s="150"/>
      <c r="AE48" s="151"/>
      <c r="AF48" s="219"/>
      <c r="AG48" s="151"/>
      <c r="AH48" s="220"/>
      <c r="AI48" s="149"/>
      <c r="AJ48" s="221">
        <v>46141</v>
      </c>
      <c r="AK48" s="221">
        <v>46141</v>
      </c>
      <c r="AL48" s="128" t="s">
        <v>86</v>
      </c>
    </row>
    <row r="49" spans="1:38" s="30" customFormat="1" ht="28" x14ac:dyDescent="0.35">
      <c r="A49" s="190"/>
      <c r="B49" s="53" t="s">
        <v>42</v>
      </c>
      <c r="C49" s="31">
        <v>7715267</v>
      </c>
      <c r="D49" s="31" t="s">
        <v>55</v>
      </c>
      <c r="E49" s="32"/>
      <c r="F49" s="28"/>
      <c r="G49" s="33"/>
      <c r="H49" s="34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54"/>
      <c r="X49" s="60"/>
      <c r="Y49" s="60"/>
      <c r="Z49" s="54"/>
      <c r="AA49" s="60">
        <v>0.5</v>
      </c>
      <c r="AB49" s="60"/>
      <c r="AC49" s="242"/>
      <c r="AD49" s="60"/>
      <c r="AE49" s="54"/>
      <c r="AF49" s="60"/>
      <c r="AG49" s="54"/>
      <c r="AH49" s="248"/>
      <c r="AI49" s="60"/>
      <c r="AJ49" s="221">
        <v>46142</v>
      </c>
      <c r="AK49" s="221">
        <v>46142</v>
      </c>
      <c r="AL49" s="244" t="s">
        <v>87</v>
      </c>
    </row>
    <row r="50" spans="1:38" s="30" customFormat="1" ht="42" x14ac:dyDescent="0.35">
      <c r="A50" s="189"/>
      <c r="B50" s="53" t="s">
        <v>42</v>
      </c>
      <c r="C50" s="31">
        <v>7715267</v>
      </c>
      <c r="D50" s="31" t="s">
        <v>55</v>
      </c>
      <c r="E50" s="224"/>
      <c r="F50" s="177"/>
      <c r="G50" s="178"/>
      <c r="H50" s="179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212"/>
      <c r="X50" s="218"/>
      <c r="Y50" s="218"/>
      <c r="Z50" s="212"/>
      <c r="AA50" s="218"/>
      <c r="AB50" s="218"/>
      <c r="AC50" s="60"/>
      <c r="AD50" s="149"/>
      <c r="AE50" s="151"/>
      <c r="AF50" s="152"/>
      <c r="AG50" s="153"/>
      <c r="AH50" s="65"/>
      <c r="AI50" s="66">
        <f>17+18+16</f>
        <v>51</v>
      </c>
      <c r="AJ50" s="35">
        <v>46143</v>
      </c>
      <c r="AK50" s="35">
        <v>46146</v>
      </c>
      <c r="AL50" s="128" t="s">
        <v>70</v>
      </c>
    </row>
    <row r="51" spans="1:38" s="30" customFormat="1" ht="42" x14ac:dyDescent="0.35">
      <c r="A51" s="189"/>
      <c r="B51" s="53" t="s">
        <v>42</v>
      </c>
      <c r="C51" s="31">
        <v>7715267</v>
      </c>
      <c r="D51" s="31" t="s">
        <v>55</v>
      </c>
      <c r="E51" s="224"/>
      <c r="F51" s="177"/>
      <c r="G51" s="178"/>
      <c r="H51" s="179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212"/>
      <c r="X51" s="218"/>
      <c r="Y51" s="218"/>
      <c r="Z51" s="212"/>
      <c r="AA51" s="218"/>
      <c r="AB51" s="218"/>
      <c r="AC51" s="243">
        <v>7.5</v>
      </c>
      <c r="AD51" s="60"/>
      <c r="AE51" s="54"/>
      <c r="AF51" s="60"/>
      <c r="AG51" s="54"/>
      <c r="AH51" s="248"/>
      <c r="AI51" s="60"/>
      <c r="AJ51" s="156">
        <v>46143</v>
      </c>
      <c r="AK51" s="156">
        <v>46143</v>
      </c>
      <c r="AL51" s="128" t="s">
        <v>74</v>
      </c>
    </row>
    <row r="52" spans="1:38" s="30" customFormat="1" ht="42" x14ac:dyDescent="0.35">
      <c r="A52" s="189"/>
      <c r="B52" s="53" t="s">
        <v>42</v>
      </c>
      <c r="C52" s="31">
        <v>7715267</v>
      </c>
      <c r="D52" s="31" t="s">
        <v>55</v>
      </c>
      <c r="E52" s="224"/>
      <c r="F52" s="177"/>
      <c r="G52" s="178"/>
      <c r="H52" s="179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212"/>
      <c r="X52" s="218"/>
      <c r="Y52" s="218"/>
      <c r="Z52" s="212"/>
      <c r="AA52" s="218"/>
      <c r="AB52" s="218"/>
      <c r="AC52" s="243">
        <v>8</v>
      </c>
      <c r="AD52" s="60"/>
      <c r="AE52" s="54"/>
      <c r="AF52" s="60"/>
      <c r="AG52" s="54"/>
      <c r="AH52" s="248"/>
      <c r="AI52" s="60"/>
      <c r="AJ52" s="156">
        <v>46145</v>
      </c>
      <c r="AK52" s="156">
        <v>46145</v>
      </c>
      <c r="AL52" s="241" t="s">
        <v>74</v>
      </c>
    </row>
    <row r="53" spans="1:38" s="30" customFormat="1" ht="31.25" customHeight="1" x14ac:dyDescent="0.35">
      <c r="A53" s="189"/>
      <c r="B53" s="211" t="s">
        <v>42</v>
      </c>
      <c r="C53" s="175">
        <v>7715267</v>
      </c>
      <c r="D53" s="175" t="s">
        <v>55</v>
      </c>
      <c r="E53" s="224"/>
      <c r="F53" s="177"/>
      <c r="G53" s="178"/>
      <c r="H53" s="179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212"/>
      <c r="X53" s="218"/>
      <c r="Y53" s="218"/>
      <c r="Z53" s="212"/>
      <c r="AA53" s="218"/>
      <c r="AB53" s="218"/>
      <c r="AC53" s="218">
        <v>6</v>
      </c>
      <c r="AD53" s="179"/>
      <c r="AE53" s="175"/>
      <c r="AF53" s="175"/>
      <c r="AG53" s="175"/>
      <c r="AH53" s="180"/>
      <c r="AI53" s="179"/>
      <c r="AJ53" s="304">
        <v>46152</v>
      </c>
      <c r="AK53" s="304">
        <v>46152</v>
      </c>
      <c r="AL53" s="256" t="s">
        <v>88</v>
      </c>
    </row>
    <row r="54" spans="1:38" s="30" customFormat="1" ht="31.25" customHeight="1" x14ac:dyDescent="0.35">
      <c r="A54" s="189"/>
      <c r="B54" s="211" t="s">
        <v>42</v>
      </c>
      <c r="C54" s="175">
        <v>7715267</v>
      </c>
      <c r="D54" s="175" t="s">
        <v>55</v>
      </c>
      <c r="E54" s="32"/>
      <c r="F54" s="28"/>
      <c r="G54" s="33"/>
      <c r="H54" s="34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54"/>
      <c r="X54" s="60"/>
      <c r="Y54" s="60"/>
      <c r="Z54" s="54"/>
      <c r="AA54" s="60"/>
      <c r="AB54" s="60"/>
      <c r="AC54" s="60"/>
      <c r="AD54" s="34"/>
      <c r="AE54" s="31"/>
      <c r="AF54" s="31"/>
      <c r="AG54" s="31"/>
      <c r="AH54" s="176">
        <v>46161</v>
      </c>
      <c r="AI54" s="34"/>
      <c r="AJ54" s="260">
        <v>46161</v>
      </c>
      <c r="AK54" s="260">
        <v>46161</v>
      </c>
      <c r="AL54" s="256" t="s">
        <v>89</v>
      </c>
    </row>
    <row r="55" spans="1:38" s="30" customFormat="1" ht="42" x14ac:dyDescent="0.35">
      <c r="A55" s="189"/>
      <c r="B55" s="54" t="s">
        <v>42</v>
      </c>
      <c r="C55" s="31">
        <v>7715267</v>
      </c>
      <c r="D55" s="31" t="s">
        <v>55</v>
      </c>
      <c r="E55" s="32"/>
      <c r="F55" s="28"/>
      <c r="G55" s="33"/>
      <c r="H55" s="34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54"/>
      <c r="X55" s="60"/>
      <c r="Y55" s="60"/>
      <c r="Z55" s="54"/>
      <c r="AA55" s="60"/>
      <c r="AB55" s="60"/>
      <c r="AC55" s="60"/>
      <c r="AD55" s="34"/>
      <c r="AE55" s="31"/>
      <c r="AF55" s="31"/>
      <c r="AG55" s="31"/>
      <c r="AH55" s="176"/>
      <c r="AI55" s="34">
        <f>14+17+15</f>
        <v>46</v>
      </c>
      <c r="AJ55" s="260">
        <v>46164</v>
      </c>
      <c r="AK55" s="260">
        <v>46167</v>
      </c>
      <c r="AL55" s="256" t="s">
        <v>70</v>
      </c>
    </row>
    <row r="56" spans="1:38" s="30" customFormat="1" ht="42.5" thickBot="1" x14ac:dyDescent="0.4">
      <c r="A56" s="196"/>
      <c r="B56" s="355" t="s">
        <v>42</v>
      </c>
      <c r="C56" s="246">
        <v>7715267</v>
      </c>
      <c r="D56" s="246" t="s">
        <v>55</v>
      </c>
      <c r="E56" s="356"/>
      <c r="F56" s="357"/>
      <c r="G56" s="358"/>
      <c r="H56" s="245"/>
      <c r="I56" s="246"/>
      <c r="J56" s="246"/>
      <c r="K56" s="246"/>
      <c r="L56" s="246"/>
      <c r="M56" s="246"/>
      <c r="N56" s="246"/>
      <c r="O56" s="246"/>
      <c r="P56" s="246"/>
      <c r="Q56" s="246"/>
      <c r="R56" s="246"/>
      <c r="S56" s="246"/>
      <c r="T56" s="246"/>
      <c r="U56" s="246"/>
      <c r="V56" s="246"/>
      <c r="W56" s="355"/>
      <c r="X56" s="371"/>
      <c r="Y56" s="371"/>
      <c r="Z56" s="355"/>
      <c r="AA56" s="371"/>
      <c r="AB56" s="371"/>
      <c r="AC56" s="371">
        <v>8</v>
      </c>
      <c r="AD56" s="245"/>
      <c r="AE56" s="246"/>
      <c r="AF56" s="246"/>
      <c r="AG56" s="246"/>
      <c r="AH56" s="247"/>
      <c r="AI56" s="245"/>
      <c r="AJ56" s="359">
        <v>46166</v>
      </c>
      <c r="AK56" s="359">
        <v>46166</v>
      </c>
      <c r="AL56" s="198" t="s">
        <v>108</v>
      </c>
    </row>
    <row r="57" spans="1:38" ht="14.5" x14ac:dyDescent="0.35">
      <c r="A57" s="199">
        <v>41</v>
      </c>
      <c r="B57" s="46" t="s">
        <v>42</v>
      </c>
      <c r="C57" s="46">
        <v>1003811403</v>
      </c>
      <c r="D57" s="46" t="s">
        <v>57</v>
      </c>
      <c r="E57" s="200"/>
      <c r="F57" s="201"/>
      <c r="G57" s="202"/>
      <c r="H57" s="47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98"/>
      <c r="X57" s="103"/>
      <c r="Y57" s="103"/>
      <c r="Z57" s="98"/>
      <c r="AA57" s="103"/>
      <c r="AB57" s="103"/>
      <c r="AC57" s="103"/>
      <c r="AD57" s="47"/>
      <c r="AE57" s="46"/>
      <c r="AF57" s="46"/>
      <c r="AG57" s="46"/>
      <c r="AH57" s="203">
        <v>46146</v>
      </c>
      <c r="AI57" s="47"/>
      <c r="AJ57" s="148">
        <v>46146</v>
      </c>
      <c r="AK57" s="148">
        <v>46146</v>
      </c>
      <c r="AL57" s="204" t="s">
        <v>89</v>
      </c>
    </row>
    <row r="58" spans="1:38" ht="28" x14ac:dyDescent="0.35">
      <c r="A58" s="190"/>
      <c r="B58" s="31" t="s">
        <v>42</v>
      </c>
      <c r="C58" s="31">
        <v>1003811403</v>
      </c>
      <c r="D58" s="31" t="s">
        <v>57</v>
      </c>
      <c r="E58" s="32"/>
      <c r="F58" s="28"/>
      <c r="G58" s="33"/>
      <c r="H58" s="34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54"/>
      <c r="X58" s="60"/>
      <c r="Y58" s="60"/>
      <c r="Z58" s="54"/>
      <c r="AA58" s="60">
        <v>8</v>
      </c>
      <c r="AB58" s="60"/>
      <c r="AC58" s="242"/>
      <c r="AD58" s="34"/>
      <c r="AE58" s="31"/>
      <c r="AF58" s="31"/>
      <c r="AG58" s="31"/>
      <c r="AH58" s="176"/>
      <c r="AI58" s="34"/>
      <c r="AJ58" s="156">
        <v>46137</v>
      </c>
      <c r="AK58" s="156">
        <v>46137</v>
      </c>
      <c r="AL58" s="191" t="s">
        <v>93</v>
      </c>
    </row>
    <row r="59" spans="1:38" ht="28" x14ac:dyDescent="0.35">
      <c r="A59" s="190"/>
      <c r="B59" s="31" t="s">
        <v>42</v>
      </c>
      <c r="C59" s="31">
        <v>1003811403</v>
      </c>
      <c r="D59" s="31" t="s">
        <v>57</v>
      </c>
      <c r="E59" s="32"/>
      <c r="F59" s="28"/>
      <c r="G59" s="33"/>
      <c r="H59" s="34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54"/>
      <c r="X59" s="60"/>
      <c r="Y59" s="60"/>
      <c r="Z59" s="54"/>
      <c r="AA59" s="60"/>
      <c r="AB59" s="60"/>
      <c r="AC59" s="242">
        <v>7</v>
      </c>
      <c r="AD59" s="34"/>
      <c r="AE59" s="31"/>
      <c r="AF59" s="31"/>
      <c r="AG59" s="31"/>
      <c r="AH59" s="176"/>
      <c r="AI59" s="34"/>
      <c r="AJ59" s="156">
        <v>46160</v>
      </c>
      <c r="AK59" s="156">
        <v>46160</v>
      </c>
      <c r="AL59" s="191" t="s">
        <v>90</v>
      </c>
    </row>
    <row r="60" spans="1:38" ht="28.5" thickBot="1" x14ac:dyDescent="0.4">
      <c r="A60" s="189"/>
      <c r="B60" s="175" t="s">
        <v>42</v>
      </c>
      <c r="C60" s="175">
        <v>1003811403</v>
      </c>
      <c r="D60" s="175" t="s">
        <v>57</v>
      </c>
      <c r="E60" s="224"/>
      <c r="F60" s="177"/>
      <c r="G60" s="178"/>
      <c r="H60" s="179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212"/>
      <c r="X60" s="218"/>
      <c r="Y60" s="218"/>
      <c r="Z60" s="212"/>
      <c r="AA60" s="218">
        <v>8</v>
      </c>
      <c r="AB60" s="218"/>
      <c r="AC60" s="218"/>
      <c r="AD60" s="179"/>
      <c r="AE60" s="175"/>
      <c r="AF60" s="175"/>
      <c r="AG60" s="175"/>
      <c r="AH60" s="180"/>
      <c r="AI60" s="179"/>
      <c r="AJ60" s="215">
        <v>46165</v>
      </c>
      <c r="AK60" s="215">
        <v>46165</v>
      </c>
      <c r="AL60" s="222" t="s">
        <v>91</v>
      </c>
    </row>
    <row r="61" spans="1:38" ht="28" x14ac:dyDescent="0.35">
      <c r="A61" s="193"/>
      <c r="B61" s="159" t="s">
        <v>42</v>
      </c>
      <c r="C61" s="159">
        <v>1067959298</v>
      </c>
      <c r="D61" s="159" t="s">
        <v>58</v>
      </c>
      <c r="E61" s="160"/>
      <c r="F61" s="108"/>
      <c r="G61" s="80"/>
      <c r="H61" s="83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13"/>
      <c r="X61" s="119"/>
      <c r="Y61" s="119"/>
      <c r="Z61" s="113"/>
      <c r="AA61" s="119"/>
      <c r="AB61" s="119"/>
      <c r="AC61" s="307">
        <v>7</v>
      </c>
      <c r="AD61" s="83"/>
      <c r="AE61" s="159"/>
      <c r="AF61" s="159"/>
      <c r="AG61" s="159"/>
      <c r="AH61" s="194"/>
      <c r="AI61" s="83"/>
      <c r="AJ61" s="138">
        <v>46160</v>
      </c>
      <c r="AK61" s="138">
        <v>46160</v>
      </c>
      <c r="AL61" s="195" t="s">
        <v>90</v>
      </c>
    </row>
    <row r="62" spans="1:38" ht="28.5" thickBot="1" x14ac:dyDescent="0.4">
      <c r="A62" s="196"/>
      <c r="B62" s="109" t="s">
        <v>42</v>
      </c>
      <c r="C62" s="109">
        <v>1067959298</v>
      </c>
      <c r="D62" s="109" t="s">
        <v>58</v>
      </c>
      <c r="E62" s="164"/>
      <c r="F62" s="110"/>
      <c r="G62" s="94"/>
      <c r="H62" s="231"/>
      <c r="I62" s="223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305"/>
      <c r="X62" s="370"/>
      <c r="Y62" s="370"/>
      <c r="Z62" s="305"/>
      <c r="AA62" s="370">
        <v>8</v>
      </c>
      <c r="AB62" s="370"/>
      <c r="AC62" s="370"/>
      <c r="AD62" s="96"/>
      <c r="AE62" s="109"/>
      <c r="AF62" s="109"/>
      <c r="AG62" s="109"/>
      <c r="AH62" s="197"/>
      <c r="AI62" s="96"/>
      <c r="AJ62" s="158">
        <v>46165</v>
      </c>
      <c r="AK62" s="158">
        <v>46165</v>
      </c>
      <c r="AL62" s="308" t="s">
        <v>91</v>
      </c>
    </row>
    <row r="63" spans="1:38" ht="42" x14ac:dyDescent="0.35">
      <c r="A63" s="199">
        <v>41</v>
      </c>
      <c r="B63" s="46" t="s">
        <v>42</v>
      </c>
      <c r="C63" s="46">
        <v>71705320</v>
      </c>
      <c r="D63" s="46" t="s">
        <v>46</v>
      </c>
      <c r="E63" s="200"/>
      <c r="F63" s="201"/>
      <c r="G63" s="202"/>
      <c r="H63" s="47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98"/>
      <c r="X63" s="103"/>
      <c r="Y63" s="103"/>
      <c r="Z63" s="98"/>
      <c r="AA63" s="103"/>
      <c r="AB63" s="103"/>
      <c r="AC63" s="103">
        <v>7</v>
      </c>
      <c r="AD63" s="47"/>
      <c r="AE63" s="46"/>
      <c r="AF63" s="46"/>
      <c r="AG63" s="46"/>
      <c r="AH63" s="203"/>
      <c r="AI63" s="47"/>
      <c r="AJ63" s="156">
        <v>46138</v>
      </c>
      <c r="AK63" s="156">
        <v>46138</v>
      </c>
      <c r="AL63" s="204" t="s">
        <v>92</v>
      </c>
    </row>
    <row r="64" spans="1:38" ht="42" x14ac:dyDescent="0.35">
      <c r="A64" s="190">
        <v>42</v>
      </c>
      <c r="B64" s="31" t="s">
        <v>42</v>
      </c>
      <c r="C64" s="31">
        <v>71705320</v>
      </c>
      <c r="D64" s="31" t="s">
        <v>46</v>
      </c>
      <c r="E64" s="32"/>
      <c r="F64" s="28"/>
      <c r="G64" s="33"/>
      <c r="H64" s="34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54"/>
      <c r="X64" s="60"/>
      <c r="Y64" s="60"/>
      <c r="Z64" s="54"/>
      <c r="AA64" s="60"/>
      <c r="AB64" s="60"/>
      <c r="AC64" s="60">
        <v>7</v>
      </c>
      <c r="AD64" s="34"/>
      <c r="AE64" s="31"/>
      <c r="AF64" s="31"/>
      <c r="AG64" s="31"/>
      <c r="AH64" s="176"/>
      <c r="AI64" s="34"/>
      <c r="AJ64" s="309">
        <v>46143</v>
      </c>
      <c r="AK64" s="309">
        <v>46143</v>
      </c>
      <c r="AL64" s="256" t="s">
        <v>92</v>
      </c>
    </row>
    <row r="65" spans="1:48" ht="42" x14ac:dyDescent="0.35">
      <c r="A65" s="190">
        <v>42</v>
      </c>
      <c r="B65" s="31" t="s">
        <v>42</v>
      </c>
      <c r="C65" s="31">
        <v>71705320</v>
      </c>
      <c r="D65" s="31" t="s">
        <v>46</v>
      </c>
      <c r="E65" s="32"/>
      <c r="F65" s="28"/>
      <c r="G65" s="33"/>
      <c r="H65" s="34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54"/>
      <c r="X65" s="60"/>
      <c r="Y65" s="60"/>
      <c r="Z65" s="54"/>
      <c r="AA65" s="60"/>
      <c r="AB65" s="60"/>
      <c r="AC65" s="60">
        <v>7</v>
      </c>
      <c r="AD65" s="34"/>
      <c r="AE65" s="31"/>
      <c r="AF65" s="31"/>
      <c r="AG65" s="31"/>
      <c r="AH65" s="176"/>
      <c r="AI65" s="34"/>
      <c r="AJ65" s="156">
        <v>46152</v>
      </c>
      <c r="AK65" s="156">
        <v>46152</v>
      </c>
      <c r="AL65" s="256" t="s">
        <v>92</v>
      </c>
    </row>
    <row r="66" spans="1:48" thickBot="1" x14ac:dyDescent="0.4">
      <c r="A66" s="189">
        <v>42</v>
      </c>
      <c r="B66" s="175" t="s">
        <v>42</v>
      </c>
      <c r="C66" s="175">
        <v>71705320</v>
      </c>
      <c r="D66" s="175" t="s">
        <v>46</v>
      </c>
      <c r="E66" s="224"/>
      <c r="F66" s="177"/>
      <c r="G66" s="178"/>
      <c r="H66" s="179"/>
      <c r="I66" s="175"/>
      <c r="J66" s="175"/>
      <c r="K66" s="175"/>
      <c r="L66" s="175"/>
      <c r="M66" s="175"/>
      <c r="N66" s="175"/>
      <c r="O66" s="175"/>
      <c r="P66" s="310"/>
      <c r="Q66" s="175"/>
      <c r="R66" s="175"/>
      <c r="S66" s="175"/>
      <c r="T66" s="175"/>
      <c r="U66" s="175"/>
      <c r="V66" s="175"/>
      <c r="W66" s="212"/>
      <c r="X66" s="218"/>
      <c r="Y66" s="218"/>
      <c r="Z66" s="212"/>
      <c r="AA66" s="218"/>
      <c r="AB66" s="218"/>
      <c r="AC66" s="218"/>
      <c r="AD66" s="179"/>
      <c r="AE66" s="175"/>
      <c r="AF66" s="175"/>
      <c r="AG66" s="175"/>
      <c r="AH66" s="180">
        <v>46167</v>
      </c>
      <c r="AI66" s="179"/>
      <c r="AJ66" s="215">
        <v>46167</v>
      </c>
      <c r="AK66" s="215">
        <v>46167</v>
      </c>
      <c r="AL66" s="256" t="s">
        <v>89</v>
      </c>
    </row>
    <row r="67" spans="1:48" ht="42" x14ac:dyDescent="0.35">
      <c r="A67" s="75">
        <v>43</v>
      </c>
      <c r="B67" s="162" t="s">
        <v>42</v>
      </c>
      <c r="C67" s="107">
        <v>11037590</v>
      </c>
      <c r="D67" s="76" t="s">
        <v>47</v>
      </c>
      <c r="E67" s="311"/>
      <c r="F67" s="167"/>
      <c r="G67" s="168"/>
      <c r="H67" s="84"/>
      <c r="I67" s="76"/>
      <c r="J67" s="76"/>
      <c r="K67" s="76"/>
      <c r="L67" s="85"/>
      <c r="M67" s="85"/>
      <c r="N67" s="76"/>
      <c r="O67" s="76"/>
      <c r="P67" s="76"/>
      <c r="Q67" s="76"/>
      <c r="R67" s="76"/>
      <c r="S67" s="76"/>
      <c r="T67" s="76"/>
      <c r="U67" s="76"/>
      <c r="V67" s="76"/>
      <c r="W67" s="145"/>
      <c r="X67" s="144"/>
      <c r="Y67" s="145"/>
      <c r="Z67" s="145"/>
      <c r="AA67" s="142"/>
      <c r="AB67" s="142"/>
      <c r="AC67" s="142">
        <v>7</v>
      </c>
      <c r="AD67" s="170"/>
      <c r="AE67" s="162"/>
      <c r="AF67" s="85"/>
      <c r="AG67" s="76"/>
      <c r="AH67" s="314"/>
      <c r="AI67" s="161"/>
      <c r="AJ67" s="259">
        <v>46145</v>
      </c>
      <c r="AK67" s="259">
        <v>46145</v>
      </c>
      <c r="AL67" s="195" t="s">
        <v>92</v>
      </c>
    </row>
    <row r="68" spans="1:48" ht="28" x14ac:dyDescent="0.35">
      <c r="A68" s="312"/>
      <c r="B68" s="31" t="s">
        <v>42</v>
      </c>
      <c r="C68" s="31">
        <v>11037590</v>
      </c>
      <c r="D68" s="31" t="s">
        <v>47</v>
      </c>
      <c r="E68" s="32"/>
      <c r="F68" s="28"/>
      <c r="G68" s="33"/>
      <c r="H68" s="34"/>
      <c r="I68" s="31"/>
      <c r="J68" s="31"/>
      <c r="K68" s="31"/>
      <c r="L68" s="34"/>
      <c r="M68" s="34"/>
      <c r="N68" s="31"/>
      <c r="O68" s="31"/>
      <c r="P68" s="31"/>
      <c r="Q68" s="31"/>
      <c r="R68" s="31"/>
      <c r="S68" s="31"/>
      <c r="T68" s="31"/>
      <c r="U68" s="31"/>
      <c r="V68" s="31"/>
      <c r="W68" s="54"/>
      <c r="X68" s="60"/>
      <c r="Y68" s="54"/>
      <c r="Z68" s="54"/>
      <c r="AA68" s="60">
        <v>2</v>
      </c>
      <c r="AB68" s="60"/>
      <c r="AC68" s="60"/>
      <c r="AD68" s="34"/>
      <c r="AE68" s="31"/>
      <c r="AF68" s="34"/>
      <c r="AG68" s="31"/>
      <c r="AH68" s="176"/>
      <c r="AI68" s="34"/>
      <c r="AJ68" s="260">
        <v>46156</v>
      </c>
      <c r="AK68" s="260">
        <v>46156</v>
      </c>
      <c r="AL68" s="288" t="s">
        <v>94</v>
      </c>
      <c r="AM68" s="264"/>
    </row>
    <row r="69" spans="1:48" ht="42" x14ac:dyDescent="0.35">
      <c r="A69" s="186">
        <v>44</v>
      </c>
      <c r="B69" s="31" t="s">
        <v>42</v>
      </c>
      <c r="C69" s="31">
        <v>11037590</v>
      </c>
      <c r="D69" s="262" t="s">
        <v>47</v>
      </c>
      <c r="E69" s="237"/>
      <c r="F69" s="177"/>
      <c r="G69" s="178"/>
      <c r="H69" s="166"/>
      <c r="I69" s="41"/>
      <c r="J69" s="41"/>
      <c r="K69" s="41"/>
      <c r="L69" s="42"/>
      <c r="M69" s="42"/>
      <c r="N69" s="41"/>
      <c r="O69" s="41"/>
      <c r="P69" s="41"/>
      <c r="Q69" s="41"/>
      <c r="R69" s="41"/>
      <c r="S69" s="41"/>
      <c r="T69" s="41"/>
      <c r="U69" s="41"/>
      <c r="V69" s="41"/>
      <c r="W69" s="366"/>
      <c r="X69" s="219"/>
      <c r="Y69" s="366"/>
      <c r="Z69" s="372"/>
      <c r="AA69" s="218"/>
      <c r="AB69" s="218"/>
      <c r="AC69" s="218">
        <v>7</v>
      </c>
      <c r="AD69" s="179"/>
      <c r="AE69" s="175"/>
      <c r="AF69" s="166"/>
      <c r="AG69" s="44"/>
      <c r="AH69" s="176"/>
      <c r="AI69" s="34"/>
      <c r="AJ69" s="260">
        <v>46159</v>
      </c>
      <c r="AK69" s="260">
        <v>46160</v>
      </c>
      <c r="AL69" s="306" t="s">
        <v>92</v>
      </c>
    </row>
    <row r="70" spans="1:48" ht="42" x14ac:dyDescent="0.35">
      <c r="A70" s="312"/>
      <c r="B70" s="31" t="s">
        <v>42</v>
      </c>
      <c r="C70" s="31">
        <v>11037590</v>
      </c>
      <c r="D70" s="31" t="s">
        <v>47</v>
      </c>
      <c r="E70" s="32"/>
      <c r="F70" s="28"/>
      <c r="G70" s="33"/>
      <c r="H70" s="34"/>
      <c r="I70" s="31"/>
      <c r="J70" s="31"/>
      <c r="K70" s="31"/>
      <c r="L70" s="34"/>
      <c r="M70" s="34"/>
      <c r="N70" s="31"/>
      <c r="O70" s="31"/>
      <c r="P70" s="31"/>
      <c r="Q70" s="31"/>
      <c r="R70" s="31"/>
      <c r="S70" s="31"/>
      <c r="T70" s="31"/>
      <c r="U70" s="31"/>
      <c r="V70" s="31"/>
      <c r="W70" s="54"/>
      <c r="X70" s="60"/>
      <c r="Y70" s="54"/>
      <c r="Z70" s="54"/>
      <c r="AA70" s="60"/>
      <c r="AB70" s="60"/>
      <c r="AC70" s="60">
        <v>10</v>
      </c>
      <c r="AD70" s="34"/>
      <c r="AE70" s="31"/>
      <c r="AF70" s="34"/>
      <c r="AG70" s="31"/>
      <c r="AH70" s="265"/>
      <c r="AI70" s="24"/>
      <c r="AJ70" s="263">
        <v>46160</v>
      </c>
      <c r="AK70" s="263">
        <v>46160</v>
      </c>
      <c r="AL70" s="313" t="s">
        <v>95</v>
      </c>
      <c r="AM70" s="264"/>
    </row>
    <row r="71" spans="1:48" thickBot="1" x14ac:dyDescent="0.4">
      <c r="A71" s="287"/>
      <c r="B71" s="31" t="s">
        <v>42</v>
      </c>
      <c r="C71" s="31">
        <v>11037590</v>
      </c>
      <c r="D71" s="31" t="s">
        <v>47</v>
      </c>
      <c r="E71" s="32"/>
      <c r="F71" s="28"/>
      <c r="G71" s="33"/>
      <c r="H71" s="34"/>
      <c r="I71" s="31"/>
      <c r="J71" s="31"/>
      <c r="K71" s="31"/>
      <c r="L71" s="34"/>
      <c r="M71" s="34"/>
      <c r="N71" s="31"/>
      <c r="O71" s="31"/>
      <c r="P71" s="31"/>
      <c r="Q71" s="31"/>
      <c r="R71" s="31"/>
      <c r="S71" s="31"/>
      <c r="T71" s="31"/>
      <c r="U71" s="31"/>
      <c r="V71" s="31"/>
      <c r="W71" s="54"/>
      <c r="X71" s="60"/>
      <c r="Y71" s="54"/>
      <c r="Z71" s="54"/>
      <c r="AA71" s="60"/>
      <c r="AB71" s="60"/>
      <c r="AC71" s="60"/>
      <c r="AD71" s="34"/>
      <c r="AE71" s="31"/>
      <c r="AF71" s="34"/>
      <c r="AG71" s="31"/>
      <c r="AH71" s="176">
        <v>46150</v>
      </c>
      <c r="AI71" s="34"/>
      <c r="AJ71" s="260">
        <v>46150</v>
      </c>
      <c r="AK71" s="260">
        <v>46150</v>
      </c>
      <c r="AL71" s="286" t="s">
        <v>89</v>
      </c>
      <c r="AM71" s="264"/>
    </row>
    <row r="72" spans="1:48" ht="28" x14ac:dyDescent="0.35">
      <c r="A72" s="292">
        <v>49</v>
      </c>
      <c r="B72" s="293" t="s">
        <v>48</v>
      </c>
      <c r="C72" s="159">
        <v>1152210639</v>
      </c>
      <c r="D72" s="294" t="s">
        <v>49</v>
      </c>
      <c r="E72" s="295"/>
      <c r="F72" s="296"/>
      <c r="G72" s="297"/>
      <c r="H72" s="298"/>
      <c r="I72" s="299"/>
      <c r="J72" s="299"/>
      <c r="K72" s="299"/>
      <c r="L72" s="298"/>
      <c r="M72" s="298"/>
      <c r="N72" s="299"/>
      <c r="O72" s="299"/>
      <c r="P72" s="299"/>
      <c r="Q72" s="299"/>
      <c r="R72" s="299"/>
      <c r="S72" s="300"/>
      <c r="T72" s="294"/>
      <c r="U72" s="299"/>
      <c r="V72" s="299"/>
      <c r="W72" s="373"/>
      <c r="X72" s="374"/>
      <c r="Y72" s="373"/>
      <c r="Z72" s="373"/>
      <c r="AA72" s="374"/>
      <c r="AB72" s="374"/>
      <c r="AC72" s="374"/>
      <c r="AD72" s="298"/>
      <c r="AE72" s="299"/>
      <c r="AF72" s="298"/>
      <c r="AG72" s="299"/>
      <c r="AH72" s="301">
        <v>46142</v>
      </c>
      <c r="AI72" s="302"/>
      <c r="AJ72" s="303">
        <v>46142</v>
      </c>
      <c r="AK72" s="303">
        <v>46142</v>
      </c>
      <c r="AL72" s="257" t="s">
        <v>89</v>
      </c>
    </row>
    <row r="73" spans="1:48" ht="28" x14ac:dyDescent="0.35">
      <c r="A73" s="287"/>
      <c r="B73" s="289" t="s">
        <v>48</v>
      </c>
      <c r="C73" s="31">
        <v>1152210639</v>
      </c>
      <c r="D73" s="290" t="s">
        <v>49</v>
      </c>
      <c r="E73" s="32"/>
      <c r="F73" s="28"/>
      <c r="G73" s="33"/>
      <c r="H73" s="34"/>
      <c r="I73" s="31"/>
      <c r="J73" s="31"/>
      <c r="K73" s="31"/>
      <c r="L73" s="34"/>
      <c r="M73" s="34"/>
      <c r="N73" s="31"/>
      <c r="O73" s="31"/>
      <c r="P73" s="31"/>
      <c r="Q73" s="31"/>
      <c r="R73" s="31"/>
      <c r="S73" s="31"/>
      <c r="T73" s="31"/>
      <c r="U73" s="31"/>
      <c r="V73" s="31"/>
      <c r="W73" s="54"/>
      <c r="X73" s="60"/>
      <c r="Y73" s="54"/>
      <c r="Z73" s="54"/>
      <c r="AA73" s="60"/>
      <c r="AB73" s="60"/>
      <c r="AC73" s="60">
        <v>5</v>
      </c>
      <c r="AD73" s="34"/>
      <c r="AE73" s="31"/>
      <c r="AF73" s="34"/>
      <c r="AG73" s="31"/>
      <c r="AH73" s="291"/>
      <c r="AI73" s="316"/>
      <c r="AJ73" s="317" t="s">
        <v>97</v>
      </c>
      <c r="AK73" s="317" t="s">
        <v>97</v>
      </c>
      <c r="AL73" s="191" t="s">
        <v>96</v>
      </c>
    </row>
    <row r="74" spans="1:48" ht="28.5" thickBot="1" x14ac:dyDescent="0.4">
      <c r="A74" s="189">
        <v>49</v>
      </c>
      <c r="B74" s="318" t="s">
        <v>48</v>
      </c>
      <c r="C74" s="175">
        <v>1152210639</v>
      </c>
      <c r="D74" s="175" t="s">
        <v>49</v>
      </c>
      <c r="E74" s="224"/>
      <c r="F74" s="177"/>
      <c r="G74" s="178"/>
      <c r="H74" s="179"/>
      <c r="I74" s="175"/>
      <c r="J74" s="175"/>
      <c r="K74" s="175"/>
      <c r="L74" s="179"/>
      <c r="M74" s="179"/>
      <c r="N74" s="175"/>
      <c r="O74" s="175"/>
      <c r="P74" s="310"/>
      <c r="Q74" s="175"/>
      <c r="R74" s="175"/>
      <c r="S74" s="175"/>
      <c r="T74" s="175"/>
      <c r="U74" s="175"/>
      <c r="V74" s="175"/>
      <c r="W74" s="212"/>
      <c r="X74" s="218"/>
      <c r="Y74" s="212"/>
      <c r="Z74" s="212"/>
      <c r="AA74" s="218"/>
      <c r="AB74" s="218"/>
      <c r="AC74" s="218">
        <v>5</v>
      </c>
      <c r="AD74" s="179"/>
      <c r="AE74" s="175"/>
      <c r="AF74" s="179"/>
      <c r="AG74" s="175"/>
      <c r="AH74" s="315"/>
      <c r="AI74" s="179"/>
      <c r="AJ74" s="319" t="s">
        <v>97</v>
      </c>
      <c r="AK74" s="319" t="s">
        <v>97</v>
      </c>
      <c r="AL74" s="256" t="s">
        <v>96</v>
      </c>
    </row>
    <row r="75" spans="1:48" ht="42" x14ac:dyDescent="0.35">
      <c r="A75" s="193"/>
      <c r="B75" s="321" t="s">
        <v>48</v>
      </c>
      <c r="C75" s="159">
        <v>1037646978</v>
      </c>
      <c r="D75" s="159" t="s">
        <v>54</v>
      </c>
      <c r="E75" s="160"/>
      <c r="F75" s="108"/>
      <c r="G75" s="80"/>
      <c r="H75" s="83"/>
      <c r="I75" s="159"/>
      <c r="J75" s="159"/>
      <c r="K75" s="159"/>
      <c r="L75" s="83"/>
      <c r="M75" s="83"/>
      <c r="N75" s="159"/>
      <c r="O75" s="159"/>
      <c r="P75" s="207"/>
      <c r="Q75" s="159"/>
      <c r="R75" s="159"/>
      <c r="S75" s="159"/>
      <c r="T75" s="159"/>
      <c r="U75" s="159"/>
      <c r="V75" s="159"/>
      <c r="W75" s="113"/>
      <c r="X75" s="119"/>
      <c r="Y75" s="113"/>
      <c r="Z75" s="113"/>
      <c r="AA75" s="119">
        <v>5</v>
      </c>
      <c r="AB75" s="119"/>
      <c r="AC75" s="119"/>
      <c r="AD75" s="83"/>
      <c r="AE75" s="159"/>
      <c r="AF75" s="83"/>
      <c r="AG75" s="159"/>
      <c r="AH75" s="322"/>
      <c r="AI75" s="83"/>
      <c r="AJ75" s="207">
        <v>46151</v>
      </c>
      <c r="AK75" s="207">
        <v>46151</v>
      </c>
      <c r="AL75" s="195" t="s">
        <v>98</v>
      </c>
    </row>
    <row r="76" spans="1:48" ht="42" x14ac:dyDescent="0.35">
      <c r="A76" s="190">
        <v>60</v>
      </c>
      <c r="B76" s="306" t="s">
        <v>48</v>
      </c>
      <c r="C76" s="31">
        <v>1037646978</v>
      </c>
      <c r="D76" s="31" t="s">
        <v>54</v>
      </c>
      <c r="E76" s="32"/>
      <c r="F76" s="28"/>
      <c r="G76" s="33"/>
      <c r="H76" s="176"/>
      <c r="I76" s="31"/>
      <c r="J76" s="176"/>
      <c r="K76" s="31"/>
      <c r="L76" s="320"/>
      <c r="M76" s="34"/>
      <c r="N76" s="31"/>
      <c r="O76" s="31"/>
      <c r="P76" s="31"/>
      <c r="Q76" s="31"/>
      <c r="R76" s="31"/>
      <c r="S76" s="31"/>
      <c r="T76" s="31"/>
      <c r="U76" s="31"/>
      <c r="V76" s="31"/>
      <c r="W76" s="54"/>
      <c r="X76" s="60"/>
      <c r="Y76" s="54"/>
      <c r="Z76" s="54"/>
      <c r="AA76" s="60"/>
      <c r="AB76" s="60"/>
      <c r="AC76" s="60">
        <v>5</v>
      </c>
      <c r="AD76" s="34"/>
      <c r="AE76" s="31"/>
      <c r="AF76" s="34"/>
      <c r="AG76" s="31"/>
      <c r="AH76" s="176"/>
      <c r="AI76" s="34"/>
      <c r="AJ76" s="156">
        <v>46160</v>
      </c>
      <c r="AK76" s="156">
        <v>46160</v>
      </c>
      <c r="AL76" s="191" t="s">
        <v>99</v>
      </c>
    </row>
    <row r="77" spans="1:48" ht="28.5" thickBot="1" x14ac:dyDescent="0.4">
      <c r="A77" s="196"/>
      <c r="B77" s="208" t="s">
        <v>48</v>
      </c>
      <c r="C77" s="109">
        <v>1037646978</v>
      </c>
      <c r="D77" s="109" t="s">
        <v>54</v>
      </c>
      <c r="E77" s="164"/>
      <c r="F77" s="110"/>
      <c r="G77" s="94"/>
      <c r="H77" s="96"/>
      <c r="I77" s="109"/>
      <c r="J77" s="109"/>
      <c r="K77" s="109"/>
      <c r="L77" s="96"/>
      <c r="M77" s="96"/>
      <c r="N77" s="109"/>
      <c r="O77" s="109"/>
      <c r="P77" s="223"/>
      <c r="Q77" s="109"/>
      <c r="R77" s="109"/>
      <c r="S77" s="109"/>
      <c r="T77" s="109"/>
      <c r="U77" s="109"/>
      <c r="V77" s="109"/>
      <c r="W77" s="305"/>
      <c r="X77" s="370"/>
      <c r="Y77" s="305"/>
      <c r="Z77" s="305"/>
      <c r="AA77" s="370"/>
      <c r="AB77" s="370"/>
      <c r="AC77" s="370"/>
      <c r="AD77" s="96"/>
      <c r="AE77" s="109"/>
      <c r="AF77" s="96"/>
      <c r="AG77" s="109"/>
      <c r="AH77" s="261">
        <v>46161</v>
      </c>
      <c r="AI77" s="96"/>
      <c r="AJ77" s="223">
        <v>46161</v>
      </c>
      <c r="AK77" s="223">
        <v>46161</v>
      </c>
      <c r="AL77" s="198" t="s">
        <v>89</v>
      </c>
    </row>
    <row r="78" spans="1:48" ht="14.5" x14ac:dyDescent="0.35">
      <c r="A78" s="205">
        <v>61</v>
      </c>
      <c r="B78" s="14" t="s">
        <v>50</v>
      </c>
      <c r="C78" s="6">
        <v>71790222</v>
      </c>
      <c r="D78" s="14" t="s">
        <v>51</v>
      </c>
      <c r="E78" s="38"/>
      <c r="F78" s="39"/>
      <c r="G78" s="40"/>
      <c r="H78" s="206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375">
        <v>250</v>
      </c>
      <c r="X78" s="376"/>
      <c r="Y78" s="375"/>
      <c r="Z78" s="375"/>
      <c r="AA78" s="219"/>
      <c r="AB78" s="219"/>
      <c r="AC78" s="219"/>
      <c r="AD78" s="42"/>
      <c r="AE78" s="41"/>
      <c r="AF78" s="42"/>
      <c r="AG78" s="41"/>
      <c r="AH78" s="236"/>
      <c r="AI78" s="235"/>
      <c r="AJ78" s="106">
        <v>46138</v>
      </c>
      <c r="AK78" s="106">
        <v>46167</v>
      </c>
      <c r="AL78" s="187" t="s">
        <v>60</v>
      </c>
      <c r="AN78" s="37"/>
      <c r="AO78" s="37"/>
      <c r="AP78" s="37"/>
      <c r="AQ78" s="37"/>
      <c r="AR78" s="37"/>
      <c r="AS78" s="37"/>
      <c r="AT78" s="37"/>
      <c r="AU78" s="37"/>
      <c r="AV78" s="37"/>
    </row>
    <row r="79" spans="1:48" ht="28" x14ac:dyDescent="0.35">
      <c r="A79" s="205"/>
      <c r="B79" s="14" t="s">
        <v>50</v>
      </c>
      <c r="C79" s="6">
        <v>71790222</v>
      </c>
      <c r="D79" s="6" t="s">
        <v>51</v>
      </c>
      <c r="E79" s="32"/>
      <c r="F79" s="28"/>
      <c r="G79" s="33"/>
      <c r="H79" s="174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56"/>
      <c r="X79" s="59"/>
      <c r="Y79" s="56"/>
      <c r="Z79" s="56"/>
      <c r="AA79" s="60">
        <v>7</v>
      </c>
      <c r="AB79" s="60"/>
      <c r="AC79" s="60"/>
      <c r="AD79" s="34"/>
      <c r="AE79" s="31"/>
      <c r="AF79" s="34"/>
      <c r="AG79" s="31"/>
      <c r="AH79" s="176"/>
      <c r="AI79" s="48"/>
      <c r="AJ79" s="156">
        <v>46137</v>
      </c>
      <c r="AK79" s="156">
        <v>46137</v>
      </c>
      <c r="AL79" s="234" t="s">
        <v>100</v>
      </c>
      <c r="AN79" s="37"/>
      <c r="AO79" s="37"/>
      <c r="AP79" s="37"/>
      <c r="AQ79" s="37"/>
      <c r="AR79" s="37"/>
      <c r="AS79" s="37"/>
      <c r="AT79" s="37"/>
      <c r="AU79" s="37"/>
      <c r="AV79" s="37"/>
    </row>
    <row r="80" spans="1:48" ht="28.5" thickBot="1" x14ac:dyDescent="0.4">
      <c r="A80" s="205"/>
      <c r="B80" s="14" t="s">
        <v>50</v>
      </c>
      <c r="C80" s="6">
        <v>71790222</v>
      </c>
      <c r="D80" s="41" t="s">
        <v>51</v>
      </c>
      <c r="E80" s="237"/>
      <c r="F80" s="177"/>
      <c r="G80" s="178"/>
      <c r="H80" s="238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377"/>
      <c r="X80" s="378"/>
      <c r="Y80" s="377"/>
      <c r="Z80" s="377"/>
      <c r="AA80" s="218"/>
      <c r="AB80" s="218">
        <v>1</v>
      </c>
      <c r="AC80" s="218"/>
      <c r="AD80" s="179"/>
      <c r="AE80" s="175"/>
      <c r="AF80" s="179"/>
      <c r="AG80" s="175"/>
      <c r="AH80" s="180"/>
      <c r="AI80" s="239"/>
      <c r="AJ80" s="156">
        <v>46137</v>
      </c>
      <c r="AK80" s="156">
        <v>46137</v>
      </c>
      <c r="AL80" s="234" t="s">
        <v>100</v>
      </c>
      <c r="AN80" s="37"/>
      <c r="AO80" s="37"/>
      <c r="AP80" s="37"/>
      <c r="AQ80" s="37"/>
      <c r="AR80" s="37"/>
      <c r="AS80" s="37"/>
      <c r="AT80" s="37"/>
      <c r="AU80" s="37"/>
      <c r="AV80" s="37"/>
    </row>
    <row r="81" spans="1:38" s="29" customFormat="1" ht="14.5" x14ac:dyDescent="0.35">
      <c r="A81" s="75">
        <v>63</v>
      </c>
      <c r="B81" s="76" t="s">
        <v>50</v>
      </c>
      <c r="C81" s="77">
        <v>71767607</v>
      </c>
      <c r="D81" s="162" t="s">
        <v>52</v>
      </c>
      <c r="E81" s="169"/>
      <c r="F81" s="167"/>
      <c r="G81" s="168"/>
      <c r="H81" s="183"/>
      <c r="I81" s="169"/>
      <c r="J81" s="169"/>
      <c r="K81" s="169"/>
      <c r="L81" s="169"/>
      <c r="M81" s="169"/>
      <c r="N81" s="170"/>
      <c r="O81" s="170"/>
      <c r="P81" s="169"/>
      <c r="Q81" s="169"/>
      <c r="R81" s="169"/>
      <c r="S81" s="169"/>
      <c r="T81" s="169"/>
      <c r="U81" s="169"/>
      <c r="V81" s="169"/>
      <c r="W81" s="379">
        <v>250</v>
      </c>
      <c r="X81" s="380"/>
      <c r="Y81" s="379"/>
      <c r="Z81" s="379"/>
      <c r="AA81" s="142"/>
      <c r="AB81" s="142"/>
      <c r="AC81" s="142"/>
      <c r="AD81" s="170"/>
      <c r="AE81" s="162"/>
      <c r="AF81" s="85"/>
      <c r="AG81" s="76"/>
      <c r="AH81" s="88"/>
      <c r="AI81" s="78"/>
      <c r="AJ81" s="125">
        <v>46138</v>
      </c>
      <c r="AK81" s="125">
        <v>46167</v>
      </c>
      <c r="AL81" s="90" t="s">
        <v>60</v>
      </c>
    </row>
    <row r="82" spans="1:38" s="29" customFormat="1" ht="28" x14ac:dyDescent="0.35">
      <c r="A82" s="91">
        <v>66</v>
      </c>
      <c r="B82" s="5" t="s">
        <v>50</v>
      </c>
      <c r="C82" s="6">
        <v>71767607</v>
      </c>
      <c r="D82" s="31" t="s">
        <v>52</v>
      </c>
      <c r="E82" s="334"/>
      <c r="F82" s="8"/>
      <c r="G82" s="9"/>
      <c r="H82" s="10"/>
      <c r="I82" s="17"/>
      <c r="J82" s="17"/>
      <c r="K82" s="17"/>
      <c r="L82" s="17"/>
      <c r="M82" s="17"/>
      <c r="N82" s="16"/>
      <c r="O82" s="16"/>
      <c r="P82" s="17"/>
      <c r="Q82" s="17"/>
      <c r="R82" s="17"/>
      <c r="S82" s="17"/>
      <c r="T82" s="17"/>
      <c r="U82" s="17"/>
      <c r="V82" s="17"/>
      <c r="W82" s="381"/>
      <c r="X82" s="382">
        <v>4</v>
      </c>
      <c r="Y82" s="62"/>
      <c r="Z82" s="56"/>
      <c r="AA82" s="60"/>
      <c r="AB82" s="149"/>
      <c r="AC82" s="150"/>
      <c r="AD82" s="16"/>
      <c r="AE82" s="20"/>
      <c r="AF82" s="21"/>
      <c r="AG82" s="6"/>
      <c r="AH82" s="19"/>
      <c r="AI82" s="22"/>
      <c r="AJ82" s="35">
        <v>46141</v>
      </c>
      <c r="AK82" s="35">
        <v>46141</v>
      </c>
      <c r="AL82" s="92" t="s">
        <v>103</v>
      </c>
    </row>
    <row r="83" spans="1:38" s="29" customFormat="1" ht="28" x14ac:dyDescent="0.35">
      <c r="A83" s="91">
        <v>66</v>
      </c>
      <c r="B83" s="5" t="s">
        <v>50</v>
      </c>
      <c r="C83" s="6">
        <v>71767607</v>
      </c>
      <c r="D83" s="14" t="s">
        <v>52</v>
      </c>
      <c r="E83" s="7"/>
      <c r="F83" s="8"/>
      <c r="G83" s="9"/>
      <c r="H83" s="10"/>
      <c r="I83" s="17"/>
      <c r="J83" s="17"/>
      <c r="K83" s="17"/>
      <c r="L83" s="17"/>
      <c r="M83" s="17"/>
      <c r="N83" s="16"/>
      <c r="O83" s="16"/>
      <c r="P83" s="17"/>
      <c r="Q83" s="17"/>
      <c r="R83" s="17"/>
      <c r="S83" s="17"/>
      <c r="T83" s="17"/>
      <c r="U83" s="17"/>
      <c r="V83" s="17"/>
      <c r="W83" s="381"/>
      <c r="X83" s="382">
        <v>3</v>
      </c>
      <c r="Y83" s="62"/>
      <c r="Z83" s="377"/>
      <c r="AA83" s="218"/>
      <c r="AB83" s="149"/>
      <c r="AC83" s="150"/>
      <c r="AD83" s="16"/>
      <c r="AE83" s="20"/>
      <c r="AF83" s="21"/>
      <c r="AG83" s="6"/>
      <c r="AH83" s="19"/>
      <c r="AI83" s="22"/>
      <c r="AJ83" s="35">
        <v>46142</v>
      </c>
      <c r="AK83" s="35">
        <v>46142</v>
      </c>
      <c r="AL83" s="92" t="s">
        <v>104</v>
      </c>
    </row>
    <row r="84" spans="1:38" s="29" customFormat="1" ht="28" x14ac:dyDescent="0.35">
      <c r="A84" s="91">
        <v>66</v>
      </c>
      <c r="B84" s="5" t="s">
        <v>50</v>
      </c>
      <c r="C84" s="6">
        <v>71767607</v>
      </c>
      <c r="D84" s="14" t="s">
        <v>52</v>
      </c>
      <c r="E84" s="7"/>
      <c r="F84" s="8"/>
      <c r="G84" s="9"/>
      <c r="H84" s="10"/>
      <c r="I84" s="17"/>
      <c r="J84" s="17"/>
      <c r="K84" s="17"/>
      <c r="L84" s="17"/>
      <c r="M84" s="17"/>
      <c r="N84" s="16"/>
      <c r="O84" s="16"/>
      <c r="P84" s="17"/>
      <c r="Q84" s="17"/>
      <c r="R84" s="17"/>
      <c r="S84" s="17"/>
      <c r="T84" s="17"/>
      <c r="U84" s="17"/>
      <c r="V84" s="17"/>
      <c r="W84" s="62"/>
      <c r="X84" s="59">
        <v>3</v>
      </c>
      <c r="Y84" s="56"/>
      <c r="Z84" s="56"/>
      <c r="AA84" s="60"/>
      <c r="AB84" s="60"/>
      <c r="AC84" s="60"/>
      <c r="AD84" s="34"/>
      <c r="AE84" s="31"/>
      <c r="AF84" s="21"/>
      <c r="AG84" s="6"/>
      <c r="AH84" s="19"/>
      <c r="AI84" s="22"/>
      <c r="AJ84" s="35">
        <v>46146</v>
      </c>
      <c r="AK84" s="35">
        <v>46146</v>
      </c>
      <c r="AL84" s="92" t="s">
        <v>104</v>
      </c>
    </row>
    <row r="85" spans="1:38" s="29" customFormat="1" ht="28" x14ac:dyDescent="0.35">
      <c r="A85" s="91">
        <v>66</v>
      </c>
      <c r="B85" s="5" t="s">
        <v>50</v>
      </c>
      <c r="C85" s="6">
        <v>71767607</v>
      </c>
      <c r="D85" s="14" t="s">
        <v>52</v>
      </c>
      <c r="E85" s="7"/>
      <c r="F85" s="8"/>
      <c r="G85" s="9"/>
      <c r="H85" s="10"/>
      <c r="I85" s="17"/>
      <c r="J85" s="17"/>
      <c r="K85" s="17"/>
      <c r="L85" s="17"/>
      <c r="M85" s="17"/>
      <c r="N85" s="16"/>
      <c r="O85" s="16"/>
      <c r="P85" s="17"/>
      <c r="Q85" s="17"/>
      <c r="R85" s="17"/>
      <c r="S85" s="17"/>
      <c r="T85" s="17"/>
      <c r="U85" s="17"/>
      <c r="V85" s="17"/>
      <c r="W85" s="62"/>
      <c r="X85" s="60">
        <v>3</v>
      </c>
      <c r="Y85" s="54"/>
      <c r="Z85" s="54"/>
      <c r="AA85" s="60"/>
      <c r="AB85" s="60"/>
      <c r="AC85" s="60"/>
      <c r="AD85" s="34"/>
      <c r="AE85" s="31"/>
      <c r="AF85" s="337"/>
      <c r="AG85" s="328"/>
      <c r="AH85" s="329"/>
      <c r="AI85" s="330"/>
      <c r="AJ85" s="35">
        <v>46147</v>
      </c>
      <c r="AK85" s="35">
        <v>46147</v>
      </c>
      <c r="AL85" s="92" t="s">
        <v>104</v>
      </c>
    </row>
    <row r="86" spans="1:38" s="29" customFormat="1" ht="28" x14ac:dyDescent="0.35">
      <c r="A86" s="91">
        <v>64</v>
      </c>
      <c r="B86" s="5" t="s">
        <v>50</v>
      </c>
      <c r="C86" s="6">
        <v>71767607</v>
      </c>
      <c r="D86" s="31" t="s">
        <v>52</v>
      </c>
      <c r="E86" s="48"/>
      <c r="F86" s="28"/>
      <c r="G86" s="33"/>
      <c r="H86" s="174"/>
      <c r="I86" s="48"/>
      <c r="J86" s="48"/>
      <c r="K86" s="48"/>
      <c r="L86" s="48"/>
      <c r="M86" s="48"/>
      <c r="N86" s="34"/>
      <c r="O86" s="34"/>
      <c r="P86" s="48"/>
      <c r="Q86" s="48"/>
      <c r="R86" s="48"/>
      <c r="S86" s="48"/>
      <c r="T86" s="48"/>
      <c r="U86" s="48"/>
      <c r="V86" s="48"/>
      <c r="W86" s="56"/>
      <c r="X86" s="59"/>
      <c r="Y86" s="56"/>
      <c r="Z86" s="60"/>
      <c r="AA86" s="383">
        <v>5</v>
      </c>
      <c r="AB86" s="60"/>
      <c r="AC86" s="60"/>
      <c r="AD86" s="34"/>
      <c r="AE86" s="31"/>
      <c r="AF86" s="21"/>
      <c r="AG86" s="6"/>
      <c r="AH86" s="19"/>
      <c r="AI86" s="22"/>
      <c r="AJ86" s="35">
        <v>46151</v>
      </c>
      <c r="AK86" s="35">
        <v>46151</v>
      </c>
      <c r="AL86" s="92" t="s">
        <v>59</v>
      </c>
    </row>
    <row r="87" spans="1:38" s="29" customFormat="1" ht="28" x14ac:dyDescent="0.35">
      <c r="A87" s="205"/>
      <c r="B87" s="5" t="s">
        <v>50</v>
      </c>
      <c r="C87" s="6">
        <v>71767607</v>
      </c>
      <c r="D87" s="14" t="s">
        <v>52</v>
      </c>
      <c r="E87" s="13"/>
      <c r="F87" s="39"/>
      <c r="G87" s="40"/>
      <c r="H87" s="252"/>
      <c r="I87" s="235"/>
      <c r="J87" s="235"/>
      <c r="K87" s="235"/>
      <c r="L87" s="235"/>
      <c r="M87" s="235"/>
      <c r="N87" s="42"/>
      <c r="O87" s="42"/>
      <c r="P87" s="235"/>
      <c r="Q87" s="235"/>
      <c r="R87" s="235"/>
      <c r="S87" s="235"/>
      <c r="T87" s="235"/>
      <c r="U87" s="235"/>
      <c r="V87" s="235"/>
      <c r="W87" s="375"/>
      <c r="X87" s="384"/>
      <c r="Y87" s="99"/>
      <c r="Z87" s="99"/>
      <c r="AA87" s="103"/>
      <c r="AB87" s="103">
        <v>4</v>
      </c>
      <c r="AC87" s="103"/>
      <c r="AD87" s="47"/>
      <c r="AE87" s="46"/>
      <c r="AF87" s="21"/>
      <c r="AG87" s="6"/>
      <c r="AH87" s="74"/>
      <c r="AI87" s="22"/>
      <c r="AJ87" s="106">
        <v>46156</v>
      </c>
      <c r="AK87" s="106">
        <v>46156</v>
      </c>
      <c r="AL87" s="187" t="s">
        <v>101</v>
      </c>
    </row>
    <row r="88" spans="1:38" s="29" customFormat="1" ht="28" x14ac:dyDescent="0.35">
      <c r="A88" s="91">
        <v>64</v>
      </c>
      <c r="B88" s="5" t="s">
        <v>50</v>
      </c>
      <c r="C88" s="6">
        <v>71767607</v>
      </c>
      <c r="D88" s="14" t="s">
        <v>52</v>
      </c>
      <c r="E88" s="7"/>
      <c r="F88" s="8"/>
      <c r="G88" s="9"/>
      <c r="H88" s="10"/>
      <c r="I88" s="17"/>
      <c r="J88" s="17"/>
      <c r="K88" s="17"/>
      <c r="L88" s="17"/>
      <c r="M88" s="17"/>
      <c r="N88" s="16"/>
      <c r="O88" s="16"/>
      <c r="P88" s="253">
        <v>46113</v>
      </c>
      <c r="Q88" s="17"/>
      <c r="R88" s="17"/>
      <c r="S88" s="17"/>
      <c r="T88" s="17"/>
      <c r="U88" s="17"/>
      <c r="V88" s="17"/>
      <c r="W88" s="381"/>
      <c r="X88" s="382"/>
      <c r="Y88" s="62"/>
      <c r="Z88" s="60"/>
      <c r="AA88" s="383"/>
      <c r="AB88" s="149">
        <v>1</v>
      </c>
      <c r="AC88" s="150"/>
      <c r="AD88" s="16"/>
      <c r="AE88" s="20"/>
      <c r="AF88" s="21"/>
      <c r="AG88" s="6"/>
      <c r="AH88" s="19"/>
      <c r="AI88" s="22"/>
      <c r="AJ88" s="106">
        <v>46157</v>
      </c>
      <c r="AK88" s="106">
        <v>46157</v>
      </c>
      <c r="AL88" s="92" t="s">
        <v>101</v>
      </c>
    </row>
    <row r="89" spans="1:38" s="29" customFormat="1" ht="28" x14ac:dyDescent="0.35">
      <c r="A89" s="91">
        <v>66</v>
      </c>
      <c r="B89" s="5" t="s">
        <v>50</v>
      </c>
      <c r="C89" s="6">
        <v>71767607</v>
      </c>
      <c r="D89" s="14" t="s">
        <v>52</v>
      </c>
      <c r="E89" s="7"/>
      <c r="F89" s="8"/>
      <c r="G89" s="9"/>
      <c r="H89" s="10"/>
      <c r="I89" s="17"/>
      <c r="J89" s="17"/>
      <c r="K89" s="17"/>
      <c r="L89" s="17"/>
      <c r="M89" s="17"/>
      <c r="N89" s="16"/>
      <c r="O89" s="16"/>
      <c r="P89" s="17"/>
      <c r="Q89" s="17"/>
      <c r="R89" s="17"/>
      <c r="S89" s="17"/>
      <c r="T89" s="17"/>
      <c r="U89" s="17"/>
      <c r="V89" s="17"/>
      <c r="W89" s="381"/>
      <c r="X89" s="382"/>
      <c r="Y89" s="62"/>
      <c r="Z89" s="56"/>
      <c r="AA89" s="60">
        <v>3</v>
      </c>
      <c r="AB89" s="149"/>
      <c r="AC89" s="150"/>
      <c r="AD89" s="16"/>
      <c r="AE89" s="20"/>
      <c r="AF89" s="21"/>
      <c r="AG89" s="6"/>
      <c r="AH89" s="19"/>
      <c r="AI89" s="22"/>
      <c r="AJ89" s="106">
        <v>46158</v>
      </c>
      <c r="AK89" s="106">
        <v>46158</v>
      </c>
      <c r="AL89" s="92" t="s">
        <v>101</v>
      </c>
    </row>
    <row r="90" spans="1:38" s="29" customFormat="1" ht="28" x14ac:dyDescent="0.35">
      <c r="A90" s="91">
        <v>66</v>
      </c>
      <c r="B90" s="5" t="s">
        <v>50</v>
      </c>
      <c r="C90" s="6">
        <v>71767607</v>
      </c>
      <c r="D90" s="14" t="s">
        <v>52</v>
      </c>
      <c r="E90" s="7"/>
      <c r="F90" s="8"/>
      <c r="G90" s="9"/>
      <c r="H90" s="10"/>
      <c r="I90" s="17"/>
      <c r="J90" s="17"/>
      <c r="K90" s="17"/>
      <c r="L90" s="17"/>
      <c r="M90" s="17"/>
      <c r="N90" s="16"/>
      <c r="O90" s="16"/>
      <c r="P90" s="17"/>
      <c r="Q90" s="17"/>
      <c r="R90" s="17"/>
      <c r="S90" s="17"/>
      <c r="T90" s="17"/>
      <c r="U90" s="17"/>
      <c r="V90" s="17"/>
      <c r="W90" s="381"/>
      <c r="X90" s="382">
        <v>3</v>
      </c>
      <c r="Y90" s="62"/>
      <c r="Z90" s="56"/>
      <c r="AA90" s="60"/>
      <c r="AB90" s="149"/>
      <c r="AC90" s="150"/>
      <c r="AD90" s="16"/>
      <c r="AE90" s="20"/>
      <c r="AF90" s="21"/>
      <c r="AG90" s="6"/>
      <c r="AH90" s="19"/>
      <c r="AI90" s="22"/>
      <c r="AJ90" s="35">
        <v>46161</v>
      </c>
      <c r="AK90" s="35">
        <v>46161</v>
      </c>
      <c r="AL90" s="92" t="s">
        <v>105</v>
      </c>
    </row>
    <row r="91" spans="1:38" s="29" customFormat="1" ht="28" x14ac:dyDescent="0.35">
      <c r="A91" s="91"/>
      <c r="B91" s="5" t="s">
        <v>50</v>
      </c>
      <c r="C91" s="6">
        <v>71767607</v>
      </c>
      <c r="D91" s="14" t="s">
        <v>52</v>
      </c>
      <c r="E91" s="7"/>
      <c r="F91" s="8"/>
      <c r="G91" s="9"/>
      <c r="H91" s="10"/>
      <c r="I91" s="17"/>
      <c r="J91" s="17"/>
      <c r="K91" s="17"/>
      <c r="L91" s="17"/>
      <c r="M91" s="17"/>
      <c r="N91" s="16"/>
      <c r="O91" s="16"/>
      <c r="P91" s="17"/>
      <c r="Q91" s="17"/>
      <c r="R91" s="17"/>
      <c r="S91" s="17"/>
      <c r="T91" s="17"/>
      <c r="U91" s="17"/>
      <c r="V91" s="17"/>
      <c r="W91" s="381"/>
      <c r="X91" s="382"/>
      <c r="Y91" s="62"/>
      <c r="Z91" s="56"/>
      <c r="AA91" s="60">
        <v>2</v>
      </c>
      <c r="AB91" s="149"/>
      <c r="AC91" s="150"/>
      <c r="AD91" s="16"/>
      <c r="AE91" s="20"/>
      <c r="AF91" s="21"/>
      <c r="AG91" s="6"/>
      <c r="AH91" s="19"/>
      <c r="AI91" s="22"/>
      <c r="AJ91" s="35">
        <v>46164</v>
      </c>
      <c r="AK91" s="35">
        <v>46164</v>
      </c>
      <c r="AL91" s="92" t="s">
        <v>101</v>
      </c>
    </row>
    <row r="92" spans="1:38" s="29" customFormat="1" ht="28" x14ac:dyDescent="0.35">
      <c r="A92" s="91">
        <v>65</v>
      </c>
      <c r="B92" s="5" t="s">
        <v>50</v>
      </c>
      <c r="C92" s="6">
        <v>71767607</v>
      </c>
      <c r="D92" s="14" t="s">
        <v>52</v>
      </c>
      <c r="E92" s="7"/>
      <c r="F92" s="8"/>
      <c r="G92" s="9"/>
      <c r="H92" s="10"/>
      <c r="I92" s="17"/>
      <c r="J92" s="17"/>
      <c r="K92" s="17"/>
      <c r="L92" s="17"/>
      <c r="M92" s="17"/>
      <c r="N92" s="16"/>
      <c r="O92" s="16"/>
      <c r="P92" s="17"/>
      <c r="Q92" s="17"/>
      <c r="R92" s="17"/>
      <c r="S92" s="17"/>
      <c r="T92" s="17"/>
      <c r="U92" s="17"/>
      <c r="V92" s="17"/>
      <c r="W92" s="381"/>
      <c r="X92" s="382"/>
      <c r="Y92" s="62"/>
      <c r="Z92" s="56"/>
      <c r="AA92" s="60">
        <v>5</v>
      </c>
      <c r="AB92" s="149"/>
      <c r="AC92" s="150"/>
      <c r="AD92" s="16"/>
      <c r="AE92" s="20"/>
      <c r="AF92" s="21"/>
      <c r="AG92" s="6"/>
      <c r="AH92" s="19"/>
      <c r="AI92" s="22"/>
      <c r="AJ92" s="35">
        <v>46165</v>
      </c>
      <c r="AK92" s="35">
        <v>46165</v>
      </c>
      <c r="AL92" s="92" t="s">
        <v>102</v>
      </c>
    </row>
    <row r="93" spans="1:38" s="29" customFormat="1" ht="28.5" thickBot="1" x14ac:dyDescent="0.4">
      <c r="A93" s="91">
        <v>66</v>
      </c>
      <c r="B93" s="5" t="s">
        <v>50</v>
      </c>
      <c r="C93" s="6">
        <v>71767607</v>
      </c>
      <c r="D93" s="14" t="s">
        <v>52</v>
      </c>
      <c r="E93" s="7"/>
      <c r="F93" s="8"/>
      <c r="G93" s="9"/>
      <c r="H93" s="10"/>
      <c r="I93" s="17"/>
      <c r="J93" s="17"/>
      <c r="K93" s="17"/>
      <c r="L93" s="17"/>
      <c r="M93" s="17"/>
      <c r="N93" s="16"/>
      <c r="O93" s="16"/>
      <c r="P93" s="17"/>
      <c r="Q93" s="17"/>
      <c r="R93" s="17"/>
      <c r="S93" s="17"/>
      <c r="T93" s="17"/>
      <c r="U93" s="17"/>
      <c r="V93" s="17"/>
      <c r="W93" s="381"/>
      <c r="X93" s="382"/>
      <c r="Y93" s="62"/>
      <c r="Z93" s="56"/>
      <c r="AA93" s="60"/>
      <c r="AB93" s="149"/>
      <c r="AC93" s="60">
        <v>10</v>
      </c>
      <c r="AD93" s="34"/>
      <c r="AE93" s="31"/>
      <c r="AF93" s="34"/>
      <c r="AG93" s="31"/>
      <c r="AH93" s="176"/>
      <c r="AI93" s="48"/>
      <c r="AJ93" s="333">
        <v>46166</v>
      </c>
      <c r="AK93" s="35">
        <v>46166</v>
      </c>
      <c r="AL93" s="187" t="s">
        <v>101</v>
      </c>
    </row>
    <row r="94" spans="1:38" s="29" customFormat="1" ht="14.5" x14ac:dyDescent="0.35">
      <c r="A94" s="75">
        <v>71</v>
      </c>
      <c r="B94" s="181" t="s">
        <v>50</v>
      </c>
      <c r="C94" s="77">
        <v>1128469401</v>
      </c>
      <c r="D94" s="76" t="s">
        <v>53</v>
      </c>
      <c r="E94" s="169"/>
      <c r="F94" s="167"/>
      <c r="G94" s="182"/>
      <c r="H94" s="183"/>
      <c r="I94" s="169"/>
      <c r="J94" s="169"/>
      <c r="K94" s="169"/>
      <c r="L94" s="169"/>
      <c r="M94" s="169"/>
      <c r="N94" s="170"/>
      <c r="O94" s="170"/>
      <c r="P94" s="169"/>
      <c r="Q94" s="169"/>
      <c r="R94" s="169"/>
      <c r="S94" s="169"/>
      <c r="T94" s="169"/>
      <c r="U94" s="169"/>
      <c r="V94" s="169"/>
      <c r="W94" s="379">
        <v>250</v>
      </c>
      <c r="X94" s="380"/>
      <c r="Y94" s="121"/>
      <c r="Z94" s="132"/>
      <c r="AA94" s="134"/>
      <c r="AB94" s="141"/>
      <c r="AC94" s="142"/>
      <c r="AD94" s="170"/>
      <c r="AE94" s="162"/>
      <c r="AF94" s="84"/>
      <c r="AG94" s="77"/>
      <c r="AH94" s="88"/>
      <c r="AI94" s="185"/>
      <c r="AJ94" s="125">
        <v>46138</v>
      </c>
      <c r="AK94" s="125">
        <v>46167</v>
      </c>
      <c r="AL94" s="90" t="s">
        <v>60</v>
      </c>
    </row>
    <row r="95" spans="1:38" s="29" customFormat="1" ht="28" x14ac:dyDescent="0.35">
      <c r="A95" s="163">
        <v>77</v>
      </c>
      <c r="B95" s="175" t="s">
        <v>50</v>
      </c>
      <c r="C95" s="226">
        <v>1128469401</v>
      </c>
      <c r="D95" s="31" t="s">
        <v>53</v>
      </c>
      <c r="E95" s="228"/>
      <c r="F95" s="28"/>
      <c r="G95" s="33"/>
      <c r="H95" s="34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54"/>
      <c r="X95" s="61">
        <v>4</v>
      </c>
      <c r="Y95" s="62"/>
      <c r="Z95" s="377"/>
      <c r="AA95" s="218"/>
      <c r="AB95" s="149"/>
      <c r="AC95" s="150"/>
      <c r="AD95" s="16"/>
      <c r="AE95" s="20"/>
      <c r="AF95" s="21"/>
      <c r="AG95" s="6"/>
      <c r="AH95" s="19"/>
      <c r="AI95" s="22"/>
      <c r="AJ95" s="35">
        <v>46141</v>
      </c>
      <c r="AK95" s="35">
        <v>46141</v>
      </c>
      <c r="AL95" s="92" t="s">
        <v>103</v>
      </c>
    </row>
    <row r="96" spans="1:38" s="29" customFormat="1" ht="28" x14ac:dyDescent="0.35">
      <c r="A96" s="163">
        <v>77</v>
      </c>
      <c r="B96" s="175" t="s">
        <v>50</v>
      </c>
      <c r="C96" s="226">
        <v>1128469401</v>
      </c>
      <c r="D96" s="31" t="s">
        <v>53</v>
      </c>
      <c r="E96" s="228"/>
      <c r="F96" s="28"/>
      <c r="G96" s="325"/>
      <c r="H96" s="32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98"/>
      <c r="X96" s="60">
        <v>3</v>
      </c>
      <c r="Y96" s="54"/>
      <c r="Z96" s="54"/>
      <c r="AA96" s="60"/>
      <c r="AB96" s="60"/>
      <c r="AC96" s="60"/>
      <c r="AD96" s="34"/>
      <c r="AE96" s="31"/>
      <c r="AF96" s="327"/>
      <c r="AG96" s="328"/>
      <c r="AH96" s="329"/>
      <c r="AI96" s="330"/>
      <c r="AJ96" s="35">
        <v>46142</v>
      </c>
      <c r="AK96" s="35">
        <v>46142</v>
      </c>
      <c r="AL96" s="92" t="s">
        <v>104</v>
      </c>
    </row>
    <row r="97" spans="1:38" s="29" customFormat="1" ht="28" x14ac:dyDescent="0.35">
      <c r="A97" s="163">
        <v>77</v>
      </c>
      <c r="B97" s="175" t="s">
        <v>50</v>
      </c>
      <c r="C97" s="226">
        <v>1128469401</v>
      </c>
      <c r="D97" s="31" t="s">
        <v>53</v>
      </c>
      <c r="E97" s="228"/>
      <c r="F97" s="28"/>
      <c r="G97" s="325"/>
      <c r="H97" s="32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98"/>
      <c r="X97" s="59">
        <v>3</v>
      </c>
      <c r="Y97" s="56"/>
      <c r="Z97" s="56"/>
      <c r="AA97" s="60"/>
      <c r="AB97" s="60"/>
      <c r="AC97" s="60"/>
      <c r="AD97" s="34"/>
      <c r="AE97" s="31"/>
      <c r="AF97" s="21"/>
      <c r="AG97" s="6"/>
      <c r="AH97" s="19"/>
      <c r="AI97" s="22"/>
      <c r="AJ97" s="35">
        <v>46146</v>
      </c>
      <c r="AK97" s="35">
        <v>46146</v>
      </c>
      <c r="AL97" s="92" t="s">
        <v>104</v>
      </c>
    </row>
    <row r="98" spans="1:38" s="29" customFormat="1" ht="28" x14ac:dyDescent="0.35">
      <c r="A98" s="163">
        <v>77</v>
      </c>
      <c r="B98" s="175" t="s">
        <v>50</v>
      </c>
      <c r="C98" s="226">
        <v>1128469401</v>
      </c>
      <c r="D98" s="31" t="s">
        <v>53</v>
      </c>
      <c r="E98" s="228"/>
      <c r="F98" s="28"/>
      <c r="G98" s="325"/>
      <c r="H98" s="32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98"/>
      <c r="X98" s="103">
        <v>3</v>
      </c>
      <c r="Y98" s="98"/>
      <c r="Z98" s="98"/>
      <c r="AA98" s="60"/>
      <c r="AB98" s="103"/>
      <c r="AC98" s="103"/>
      <c r="AD98" s="47"/>
      <c r="AE98" s="46"/>
      <c r="AF98" s="327"/>
      <c r="AG98" s="328"/>
      <c r="AH98" s="329"/>
      <c r="AI98" s="330"/>
      <c r="AJ98" s="35">
        <v>46147</v>
      </c>
      <c r="AK98" s="35">
        <v>46147</v>
      </c>
      <c r="AL98" s="92" t="s">
        <v>104</v>
      </c>
    </row>
    <row r="99" spans="1:38" s="29" customFormat="1" ht="28" x14ac:dyDescent="0.35">
      <c r="A99" s="186">
        <v>72</v>
      </c>
      <c r="B99" s="31" t="s">
        <v>50</v>
      </c>
      <c r="C99" s="173">
        <v>1128469401</v>
      </c>
      <c r="D99" s="6" t="s">
        <v>53</v>
      </c>
      <c r="E99" s="48"/>
      <c r="F99" s="28"/>
      <c r="G99" s="33"/>
      <c r="H99" s="174"/>
      <c r="I99" s="48"/>
      <c r="J99" s="48"/>
      <c r="K99" s="48"/>
      <c r="L99" s="48"/>
      <c r="M99" s="48"/>
      <c r="N99" s="34"/>
      <c r="O99" s="34"/>
      <c r="P99" s="48"/>
      <c r="Q99" s="48"/>
      <c r="R99" s="48"/>
      <c r="S99" s="48"/>
      <c r="T99" s="48"/>
      <c r="U99" s="48"/>
      <c r="V99" s="48"/>
      <c r="W99" s="56"/>
      <c r="X99" s="376"/>
      <c r="Y99" s="385"/>
      <c r="Z99" s="103"/>
      <c r="AA99" s="386">
        <v>5</v>
      </c>
      <c r="AB99" s="103"/>
      <c r="AC99" s="103"/>
      <c r="AD99" s="47"/>
      <c r="AE99" s="46"/>
      <c r="AF99" s="21"/>
      <c r="AG99" s="6"/>
      <c r="AH99" s="19"/>
      <c r="AI99" s="22"/>
      <c r="AJ99" s="35">
        <v>46151</v>
      </c>
      <c r="AK99" s="35">
        <v>46151</v>
      </c>
      <c r="AL99" s="92" t="s">
        <v>59</v>
      </c>
    </row>
    <row r="100" spans="1:38" s="29" customFormat="1" ht="14.5" x14ac:dyDescent="0.35">
      <c r="A100" s="186"/>
      <c r="B100" s="31" t="s">
        <v>50</v>
      </c>
      <c r="C100" s="173">
        <v>1128469401</v>
      </c>
      <c r="D100" s="6" t="s">
        <v>53</v>
      </c>
      <c r="E100" s="48"/>
      <c r="F100" s="28"/>
      <c r="G100" s="33"/>
      <c r="H100" s="174"/>
      <c r="I100" s="48"/>
      <c r="J100" s="48"/>
      <c r="K100" s="48"/>
      <c r="L100" s="48"/>
      <c r="M100" s="48"/>
      <c r="N100" s="19">
        <v>46152</v>
      </c>
      <c r="O100" s="34"/>
      <c r="P100" s="48"/>
      <c r="Q100" s="48"/>
      <c r="R100" s="48"/>
      <c r="S100" s="48"/>
      <c r="T100" s="48"/>
      <c r="U100" s="48"/>
      <c r="V100" s="48"/>
      <c r="W100" s="284"/>
      <c r="X100" s="59"/>
      <c r="Y100" s="56"/>
      <c r="Z100" s="387"/>
      <c r="AA100" s="386"/>
      <c r="AB100" s="103"/>
      <c r="AC100" s="103"/>
      <c r="AD100" s="47"/>
      <c r="AE100" s="46"/>
      <c r="AF100" s="21"/>
      <c r="AG100" s="6"/>
      <c r="AH100" s="19"/>
      <c r="AI100" s="22"/>
      <c r="AJ100" s="35">
        <v>46122</v>
      </c>
      <c r="AK100" s="35">
        <v>46122</v>
      </c>
      <c r="AL100" s="92" t="s">
        <v>109</v>
      </c>
    </row>
    <row r="101" spans="1:38" s="29" customFormat="1" ht="14.5" x14ac:dyDescent="0.35">
      <c r="A101" s="186">
        <v>73</v>
      </c>
      <c r="B101" s="31" t="s">
        <v>50</v>
      </c>
      <c r="C101" s="173">
        <v>1128469401</v>
      </c>
      <c r="D101" s="6" t="s">
        <v>53</v>
      </c>
      <c r="E101" s="48"/>
      <c r="F101" s="28"/>
      <c r="G101" s="33"/>
      <c r="H101" s="174"/>
      <c r="I101" s="48"/>
      <c r="J101" s="48"/>
      <c r="K101" s="48"/>
      <c r="L101" s="48"/>
      <c r="M101" s="48"/>
      <c r="N101" s="34"/>
      <c r="O101" s="34"/>
      <c r="P101" s="48"/>
      <c r="Q101" s="48"/>
      <c r="R101" s="48"/>
      <c r="S101" s="48"/>
      <c r="T101" s="48"/>
      <c r="U101" s="48"/>
      <c r="V101" s="48"/>
      <c r="W101" s="56"/>
      <c r="X101" s="376"/>
      <c r="Y101" s="385"/>
      <c r="Z101" s="56"/>
      <c r="AA101" s="60"/>
      <c r="AB101" s="60"/>
      <c r="AC101" s="60"/>
      <c r="AD101" s="34"/>
      <c r="AE101" s="31"/>
      <c r="AF101" s="21"/>
      <c r="AG101" s="6"/>
      <c r="AH101" s="19">
        <v>46154</v>
      </c>
      <c r="AI101" s="22"/>
      <c r="AJ101" s="35">
        <v>46154</v>
      </c>
      <c r="AK101" s="35">
        <v>46154</v>
      </c>
      <c r="AL101" s="92" t="s">
        <v>89</v>
      </c>
    </row>
    <row r="102" spans="1:38" s="29" customFormat="1" ht="28" x14ac:dyDescent="0.35">
      <c r="A102" s="186">
        <v>76</v>
      </c>
      <c r="B102" s="31" t="s">
        <v>50</v>
      </c>
      <c r="C102" s="173">
        <v>1128469401</v>
      </c>
      <c r="D102" s="6" t="s">
        <v>53</v>
      </c>
      <c r="E102" s="239"/>
      <c r="F102" s="177"/>
      <c r="G102" s="178"/>
      <c r="H102" s="238"/>
      <c r="I102" s="239"/>
      <c r="J102" s="239"/>
      <c r="K102" s="239"/>
      <c r="L102" s="239"/>
      <c r="M102" s="239"/>
      <c r="N102" s="179"/>
      <c r="O102" s="179"/>
      <c r="P102" s="239"/>
      <c r="Q102" s="239"/>
      <c r="R102" s="239"/>
      <c r="S102" s="239"/>
      <c r="T102" s="239"/>
      <c r="U102" s="239"/>
      <c r="V102" s="239"/>
      <c r="W102" s="377"/>
      <c r="X102" s="150"/>
      <c r="Y102" s="211"/>
      <c r="Z102" s="212"/>
      <c r="AA102" s="218"/>
      <c r="AB102" s="218">
        <v>4</v>
      </c>
      <c r="AC102" s="218"/>
      <c r="AD102" s="179"/>
      <c r="AE102" s="175"/>
      <c r="AF102" s="166"/>
      <c r="AG102" s="44"/>
      <c r="AH102" s="236"/>
      <c r="AI102" s="227"/>
      <c r="AJ102" s="106">
        <v>46156</v>
      </c>
      <c r="AK102" s="106">
        <v>46156</v>
      </c>
      <c r="AL102" s="187" t="s">
        <v>101</v>
      </c>
    </row>
    <row r="103" spans="1:38" s="29" customFormat="1" ht="28" x14ac:dyDescent="0.35">
      <c r="A103" s="186">
        <v>74</v>
      </c>
      <c r="B103" s="31" t="s">
        <v>50</v>
      </c>
      <c r="C103" s="173">
        <v>1128469401</v>
      </c>
      <c r="D103" s="6" t="s">
        <v>53</v>
      </c>
      <c r="E103" s="48"/>
      <c r="F103" s="28"/>
      <c r="G103" s="33"/>
      <c r="H103" s="174"/>
      <c r="I103" s="48"/>
      <c r="J103" s="48"/>
      <c r="K103" s="48"/>
      <c r="L103" s="48"/>
      <c r="M103" s="48"/>
      <c r="N103" s="34"/>
      <c r="O103" s="34"/>
      <c r="P103" s="209"/>
      <c r="Q103" s="48"/>
      <c r="R103" s="48"/>
      <c r="S103" s="48"/>
      <c r="T103" s="48"/>
      <c r="U103" s="48"/>
      <c r="V103" s="48"/>
      <c r="W103" s="56"/>
      <c r="X103" s="59"/>
      <c r="Y103" s="56"/>
      <c r="Z103" s="56"/>
      <c r="AA103" s="60">
        <v>1</v>
      </c>
      <c r="AB103" s="60"/>
      <c r="AC103" s="60"/>
      <c r="AD103" s="34"/>
      <c r="AE103" s="31"/>
      <c r="AF103" s="34"/>
      <c r="AG103" s="31"/>
      <c r="AH103" s="176"/>
      <c r="AI103" s="48"/>
      <c r="AJ103" s="335">
        <v>46157</v>
      </c>
      <c r="AK103" s="106">
        <v>46157</v>
      </c>
      <c r="AL103" s="92" t="s">
        <v>101</v>
      </c>
    </row>
    <row r="104" spans="1:38" s="29" customFormat="1" ht="28" x14ac:dyDescent="0.35">
      <c r="A104" s="163">
        <v>77</v>
      </c>
      <c r="B104" s="175" t="s">
        <v>50</v>
      </c>
      <c r="C104" s="226">
        <v>1128469401</v>
      </c>
      <c r="D104" s="31" t="s">
        <v>53</v>
      </c>
      <c r="E104" s="336"/>
      <c r="F104" s="201"/>
      <c r="G104" s="325"/>
      <c r="H104" s="32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98"/>
      <c r="X104" s="150">
        <v>3</v>
      </c>
      <c r="Y104" s="211"/>
      <c r="Z104" s="54"/>
      <c r="AA104" s="60"/>
      <c r="AB104" s="149"/>
      <c r="AC104" s="150"/>
      <c r="AD104" s="16"/>
      <c r="AE104" s="20"/>
      <c r="AF104" s="21"/>
      <c r="AG104" s="6"/>
      <c r="AH104" s="225"/>
      <c r="AI104" s="51"/>
      <c r="AJ104" s="35">
        <v>46161</v>
      </c>
      <c r="AK104" s="35">
        <v>46161</v>
      </c>
      <c r="AL104" s="92" t="s">
        <v>105</v>
      </c>
    </row>
    <row r="105" spans="1:38" s="29" customFormat="1" ht="28" x14ac:dyDescent="0.35">
      <c r="A105" s="188">
        <v>78</v>
      </c>
      <c r="B105" s="175" t="s">
        <v>50</v>
      </c>
      <c r="C105" s="175">
        <v>1128469401</v>
      </c>
      <c r="D105" s="175" t="s">
        <v>53</v>
      </c>
      <c r="E105" s="31"/>
      <c r="F105" s="28"/>
      <c r="G105" s="178"/>
      <c r="H105" s="179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212"/>
      <c r="X105" s="218"/>
      <c r="Y105" s="212"/>
      <c r="Z105" s="212"/>
      <c r="AA105" s="218">
        <v>2</v>
      </c>
      <c r="AB105" s="218"/>
      <c r="AC105" s="218"/>
      <c r="AD105" s="331"/>
      <c r="AE105" s="31"/>
      <c r="AF105" s="34"/>
      <c r="AG105" s="31"/>
      <c r="AH105" s="176"/>
      <c r="AI105" s="48"/>
      <c r="AJ105" s="333">
        <v>46164</v>
      </c>
      <c r="AK105" s="35">
        <v>46164</v>
      </c>
      <c r="AL105" s="92" t="s">
        <v>101</v>
      </c>
    </row>
    <row r="106" spans="1:38" s="29" customFormat="1" ht="28" x14ac:dyDescent="0.35">
      <c r="A106" s="188">
        <v>78</v>
      </c>
      <c r="B106" s="175" t="s">
        <v>50</v>
      </c>
      <c r="C106" s="31">
        <v>1128469401</v>
      </c>
      <c r="D106" s="31" t="s">
        <v>53</v>
      </c>
      <c r="E106" s="31"/>
      <c r="F106" s="28"/>
      <c r="G106" s="33"/>
      <c r="H106" s="34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54"/>
      <c r="X106" s="60"/>
      <c r="Y106" s="54"/>
      <c r="Z106" s="54"/>
      <c r="AA106" s="60">
        <v>5</v>
      </c>
      <c r="AB106" s="149"/>
      <c r="AC106" s="150"/>
      <c r="AD106" s="332"/>
      <c r="AE106" s="31"/>
      <c r="AF106" s="34"/>
      <c r="AG106" s="31"/>
      <c r="AH106" s="176"/>
      <c r="AI106" s="48"/>
      <c r="AJ106" s="333">
        <v>46165</v>
      </c>
      <c r="AK106" s="35">
        <v>46165</v>
      </c>
      <c r="AL106" s="92" t="s">
        <v>102</v>
      </c>
    </row>
    <row r="107" spans="1:38" s="29" customFormat="1" ht="28" x14ac:dyDescent="0.35">
      <c r="A107" s="188">
        <v>78</v>
      </c>
      <c r="B107" s="175" t="s">
        <v>50</v>
      </c>
      <c r="C107" s="31">
        <v>1128469401</v>
      </c>
      <c r="D107" s="31" t="s">
        <v>53</v>
      </c>
      <c r="E107" s="323"/>
      <c r="F107" s="324"/>
      <c r="G107" s="33"/>
      <c r="H107" s="34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54"/>
      <c r="X107" s="60"/>
      <c r="Y107" s="54"/>
      <c r="Z107" s="54"/>
      <c r="AA107" s="60"/>
      <c r="AB107" s="60"/>
      <c r="AC107" s="60">
        <v>10</v>
      </c>
      <c r="AD107" s="34"/>
      <c r="AE107" s="31"/>
      <c r="AF107" s="34"/>
      <c r="AG107" s="31"/>
      <c r="AH107" s="176"/>
      <c r="AI107" s="48"/>
      <c r="AJ107" s="333">
        <v>46166</v>
      </c>
      <c r="AK107" s="35">
        <v>46166</v>
      </c>
      <c r="AL107" s="187" t="s">
        <v>101</v>
      </c>
    </row>
    <row r="108" spans="1:38" s="29" customFormat="1" ht="28.5" thickBot="1" x14ac:dyDescent="0.4">
      <c r="A108" s="229">
        <v>75</v>
      </c>
      <c r="B108" s="109" t="s">
        <v>50</v>
      </c>
      <c r="C108" s="230">
        <v>1128469401</v>
      </c>
      <c r="D108" s="93" t="s">
        <v>53</v>
      </c>
      <c r="E108" s="95"/>
      <c r="F108" s="110"/>
      <c r="G108" s="94"/>
      <c r="H108" s="231"/>
      <c r="I108" s="95"/>
      <c r="J108" s="95"/>
      <c r="K108" s="95"/>
      <c r="L108" s="95"/>
      <c r="M108" s="95"/>
      <c r="N108" s="96"/>
      <c r="O108" s="96"/>
      <c r="P108" s="95"/>
      <c r="Q108" s="95"/>
      <c r="R108" s="95"/>
      <c r="S108" s="95"/>
      <c r="T108" s="95"/>
      <c r="U108" s="95"/>
      <c r="V108" s="95"/>
      <c r="W108" s="388"/>
      <c r="X108" s="389">
        <v>4.8</v>
      </c>
      <c r="Y108" s="388"/>
      <c r="Z108" s="388"/>
      <c r="AA108" s="370"/>
      <c r="AB108" s="370"/>
      <c r="AC108" s="370"/>
      <c r="AD108" s="96"/>
      <c r="AE108" s="109"/>
      <c r="AF108" s="171"/>
      <c r="AG108" s="93"/>
      <c r="AH108" s="233"/>
      <c r="AI108" s="172"/>
      <c r="AJ108" s="129">
        <v>46162</v>
      </c>
      <c r="AK108" s="129">
        <v>46162</v>
      </c>
      <c r="AL108" s="97" t="s">
        <v>106</v>
      </c>
    </row>
    <row r="109" spans="1:38" ht="14.25" customHeight="1" x14ac:dyDescent="0.35">
      <c r="A109" s="23"/>
      <c r="B109" s="23"/>
      <c r="C109" s="23"/>
      <c r="D109" s="23"/>
      <c r="E109" s="23"/>
      <c r="F109" s="23"/>
      <c r="G109" s="23"/>
      <c r="H109" s="24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5"/>
      <c r="Y109" s="23"/>
      <c r="Z109" s="23"/>
      <c r="AA109" s="24"/>
      <c r="AB109" s="25"/>
      <c r="AC109" s="24"/>
      <c r="AD109" s="25"/>
      <c r="AE109" s="23"/>
      <c r="AF109" s="23"/>
      <c r="AG109" s="23"/>
      <c r="AH109" s="23"/>
      <c r="AI109" s="24"/>
      <c r="AJ109" s="23"/>
      <c r="AK109" s="23"/>
      <c r="AL109" s="23"/>
    </row>
    <row r="110" spans="1:38" ht="14.25" customHeight="1" x14ac:dyDescent="0.35">
      <c r="A110" s="23"/>
      <c r="B110" s="23"/>
      <c r="C110" s="23"/>
      <c r="D110" s="23"/>
      <c r="E110" s="23"/>
      <c r="F110" s="23"/>
      <c r="G110" s="23"/>
      <c r="H110" s="24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5"/>
      <c r="Y110" s="23"/>
      <c r="Z110" s="23"/>
      <c r="AA110" s="24"/>
      <c r="AB110" s="25"/>
      <c r="AC110" s="24"/>
      <c r="AD110" s="25"/>
      <c r="AE110" s="23"/>
      <c r="AF110" s="23"/>
      <c r="AG110" s="23"/>
      <c r="AH110" s="23"/>
      <c r="AI110" s="24"/>
      <c r="AJ110" s="23"/>
      <c r="AK110" s="23"/>
      <c r="AL110" s="23"/>
    </row>
    <row r="111" spans="1:38" ht="14.25" customHeight="1" x14ac:dyDescent="0.35">
      <c r="A111" s="23"/>
      <c r="B111" s="23"/>
      <c r="C111" s="23"/>
      <c r="D111" s="23"/>
      <c r="E111" s="23"/>
      <c r="F111" s="23"/>
      <c r="G111" s="23"/>
      <c r="H111" s="24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5"/>
      <c r="Y111" s="23"/>
      <c r="Z111" s="23"/>
      <c r="AA111" s="24"/>
      <c r="AB111" s="25"/>
      <c r="AC111" s="24"/>
      <c r="AD111" s="25"/>
      <c r="AE111" s="23"/>
      <c r="AF111" s="23"/>
      <c r="AG111" s="23"/>
      <c r="AH111" s="23"/>
      <c r="AI111" s="24"/>
      <c r="AJ111" s="23"/>
      <c r="AK111" s="23"/>
      <c r="AL111" s="23"/>
    </row>
    <row r="112" spans="1:38" ht="14.25" customHeight="1" x14ac:dyDescent="0.35">
      <c r="A112" s="23"/>
      <c r="B112" s="23"/>
      <c r="C112" s="23"/>
      <c r="D112" s="23"/>
      <c r="E112" s="23"/>
      <c r="F112" s="23"/>
      <c r="G112" s="23"/>
      <c r="H112" s="24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5"/>
      <c r="Y112" s="23"/>
      <c r="Z112" s="23"/>
      <c r="AA112" s="24"/>
      <c r="AB112" s="25"/>
      <c r="AC112" s="24"/>
      <c r="AD112" s="25"/>
      <c r="AE112" s="23"/>
      <c r="AF112" s="23"/>
      <c r="AG112" s="23"/>
      <c r="AH112" s="23"/>
      <c r="AI112" s="24"/>
      <c r="AJ112" s="23"/>
      <c r="AK112" s="23"/>
      <c r="AL112" s="23"/>
    </row>
    <row r="113" spans="1:38" ht="14.25" customHeight="1" x14ac:dyDescent="0.35">
      <c r="A113" s="23"/>
      <c r="B113" s="23"/>
      <c r="C113" s="23"/>
      <c r="D113" s="23"/>
      <c r="E113" s="23"/>
      <c r="F113" s="23"/>
      <c r="G113" s="23"/>
      <c r="H113" s="24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5"/>
      <c r="Y113" s="23"/>
      <c r="Z113" s="23"/>
      <c r="AA113" s="24"/>
      <c r="AB113" s="25"/>
      <c r="AC113" s="24"/>
      <c r="AD113" s="25"/>
      <c r="AE113" s="23"/>
      <c r="AF113" s="23"/>
      <c r="AG113" s="23"/>
      <c r="AH113" s="23"/>
      <c r="AI113" s="24"/>
      <c r="AJ113" s="23"/>
      <c r="AK113" s="23"/>
      <c r="AL113" s="23"/>
    </row>
    <row r="114" spans="1:38" ht="14.25" customHeight="1" x14ac:dyDescent="0.35">
      <c r="A114" s="23"/>
      <c r="B114" s="23"/>
      <c r="C114" s="23"/>
      <c r="D114" s="23"/>
      <c r="E114" s="23"/>
      <c r="F114" s="23"/>
      <c r="G114" s="23"/>
      <c r="H114" s="24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5"/>
      <c r="Y114" s="23"/>
      <c r="Z114" s="23"/>
      <c r="AA114" s="24"/>
      <c r="AB114" s="25"/>
      <c r="AC114" s="24"/>
      <c r="AD114" s="25"/>
      <c r="AE114" s="23"/>
      <c r="AF114" s="23"/>
      <c r="AG114" s="23"/>
      <c r="AH114" s="23"/>
      <c r="AI114" s="24"/>
      <c r="AJ114" s="23"/>
      <c r="AK114" s="23"/>
      <c r="AL114" s="23"/>
    </row>
    <row r="115" spans="1:38" ht="14.25" customHeight="1" x14ac:dyDescent="0.35">
      <c r="A115" s="23"/>
      <c r="B115" s="23"/>
      <c r="C115" s="23"/>
      <c r="D115" s="23"/>
      <c r="E115" s="23"/>
      <c r="F115" s="23"/>
      <c r="G115" s="23"/>
      <c r="H115" s="24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5"/>
      <c r="Y115" s="23"/>
      <c r="Z115" s="23"/>
      <c r="AA115" s="24"/>
      <c r="AB115" s="25"/>
      <c r="AC115" s="24"/>
      <c r="AD115" s="25"/>
      <c r="AE115" s="23"/>
      <c r="AF115" s="23"/>
      <c r="AG115" s="23"/>
      <c r="AH115" s="23"/>
      <c r="AI115" s="24"/>
      <c r="AJ115" s="23"/>
      <c r="AK115" s="23"/>
      <c r="AL115" s="23"/>
    </row>
    <row r="116" spans="1:38" ht="14.25" customHeight="1" x14ac:dyDescent="0.35">
      <c r="A116" s="23"/>
      <c r="B116" s="23"/>
      <c r="C116" s="23"/>
      <c r="D116" s="23"/>
      <c r="E116" s="23"/>
      <c r="F116" s="23"/>
      <c r="G116" s="23"/>
      <c r="H116" s="24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5"/>
      <c r="Y116" s="23"/>
      <c r="Z116" s="23"/>
      <c r="AA116" s="24"/>
      <c r="AB116" s="25"/>
      <c r="AC116" s="24"/>
      <c r="AD116" s="25"/>
      <c r="AE116" s="23"/>
      <c r="AF116" s="23"/>
      <c r="AG116" s="23"/>
      <c r="AH116" s="23"/>
      <c r="AI116" s="24"/>
      <c r="AJ116" s="23"/>
      <c r="AK116" s="23"/>
      <c r="AL116" s="23"/>
    </row>
    <row r="117" spans="1:38" ht="14.25" customHeight="1" x14ac:dyDescent="0.35">
      <c r="A117" s="23"/>
      <c r="B117" s="23"/>
      <c r="C117" s="23"/>
      <c r="D117" s="23"/>
      <c r="E117" s="23"/>
      <c r="F117" s="23"/>
      <c r="G117" s="23"/>
      <c r="H117" s="24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5"/>
      <c r="Y117" s="23"/>
      <c r="Z117" s="23"/>
      <c r="AA117" s="24"/>
      <c r="AB117" s="25"/>
      <c r="AC117" s="24"/>
      <c r="AD117" s="25"/>
      <c r="AE117" s="23"/>
      <c r="AF117" s="23"/>
      <c r="AG117" s="23"/>
      <c r="AH117" s="23"/>
      <c r="AI117" s="24"/>
      <c r="AJ117" s="23"/>
      <c r="AK117" s="23"/>
      <c r="AL117" s="23"/>
    </row>
    <row r="118" spans="1:38" ht="14.25" customHeight="1" x14ac:dyDescent="0.35">
      <c r="A118" s="23"/>
      <c r="B118" s="23"/>
      <c r="C118" s="23"/>
      <c r="D118" s="23"/>
      <c r="E118" s="23"/>
      <c r="F118" s="23"/>
      <c r="G118" s="23"/>
      <c r="H118" s="24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5"/>
      <c r="Y118" s="23"/>
      <c r="Z118" s="23"/>
      <c r="AA118" s="24"/>
      <c r="AB118" s="25"/>
      <c r="AC118" s="24"/>
      <c r="AD118" s="25"/>
      <c r="AE118" s="23"/>
      <c r="AF118" s="23"/>
      <c r="AG118" s="23"/>
      <c r="AH118" s="23"/>
      <c r="AI118" s="24"/>
      <c r="AJ118" s="23"/>
      <c r="AK118" s="23"/>
      <c r="AL118" s="23"/>
    </row>
    <row r="119" spans="1:38" ht="14.25" customHeight="1" x14ac:dyDescent="0.35">
      <c r="A119" s="23"/>
      <c r="B119" s="23"/>
      <c r="C119" s="23"/>
      <c r="D119" s="23"/>
      <c r="E119" s="23"/>
      <c r="F119" s="23"/>
      <c r="G119" s="23"/>
      <c r="H119" s="24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5"/>
      <c r="Y119" s="23"/>
      <c r="Z119" s="23"/>
      <c r="AA119" s="24"/>
      <c r="AB119" s="25"/>
      <c r="AC119" s="24"/>
      <c r="AD119" s="25"/>
      <c r="AE119" s="23"/>
      <c r="AF119" s="23"/>
      <c r="AG119" s="23"/>
      <c r="AH119" s="23"/>
      <c r="AI119" s="24"/>
      <c r="AJ119" s="23"/>
      <c r="AK119" s="23"/>
      <c r="AL119" s="23"/>
    </row>
    <row r="120" spans="1:38" ht="14.25" customHeight="1" x14ac:dyDescent="0.35">
      <c r="A120" s="23"/>
      <c r="B120" s="23"/>
      <c r="C120" s="23"/>
      <c r="D120" s="23"/>
      <c r="E120" s="23"/>
      <c r="F120" s="23"/>
      <c r="G120" s="23"/>
      <c r="H120" s="24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5"/>
      <c r="Y120" s="23"/>
      <c r="Z120" s="23"/>
      <c r="AA120" s="24"/>
      <c r="AB120" s="25"/>
      <c r="AC120" s="24"/>
      <c r="AD120" s="25"/>
      <c r="AE120" s="23"/>
      <c r="AF120" s="23"/>
      <c r="AG120" s="23"/>
      <c r="AH120" s="23"/>
      <c r="AI120" s="24"/>
      <c r="AJ120" s="23"/>
      <c r="AK120" s="23"/>
      <c r="AL120" s="23"/>
    </row>
    <row r="121" spans="1:38" ht="14.25" customHeight="1" x14ac:dyDescent="0.35">
      <c r="A121" s="23"/>
      <c r="B121" s="23"/>
      <c r="C121" s="23"/>
      <c r="D121" s="23"/>
      <c r="E121" s="23"/>
      <c r="F121" s="23"/>
      <c r="G121" s="23"/>
      <c r="H121" s="24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5"/>
      <c r="Y121" s="23"/>
      <c r="Z121" s="23"/>
      <c r="AA121" s="24"/>
      <c r="AB121" s="25"/>
      <c r="AC121" s="24"/>
      <c r="AD121" s="25"/>
      <c r="AE121" s="23"/>
      <c r="AF121" s="23"/>
      <c r="AG121" s="23"/>
      <c r="AH121" s="23"/>
      <c r="AI121" s="24"/>
      <c r="AJ121" s="23"/>
      <c r="AK121" s="23"/>
      <c r="AL121" s="23"/>
    </row>
    <row r="122" spans="1:38" ht="14.25" customHeight="1" x14ac:dyDescent="0.35">
      <c r="A122" s="23"/>
      <c r="B122" s="23"/>
      <c r="C122" s="23"/>
      <c r="D122" s="23"/>
      <c r="E122" s="23"/>
      <c r="F122" s="23"/>
      <c r="G122" s="23"/>
      <c r="H122" s="24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5"/>
      <c r="Y122" s="23"/>
      <c r="Z122" s="23"/>
      <c r="AA122" s="24"/>
      <c r="AB122" s="25"/>
      <c r="AC122" s="24"/>
      <c r="AD122" s="25"/>
      <c r="AE122" s="23"/>
      <c r="AF122" s="23"/>
      <c r="AG122" s="23"/>
      <c r="AH122" s="23"/>
      <c r="AI122" s="24"/>
      <c r="AJ122" s="23"/>
      <c r="AK122" s="23"/>
      <c r="AL122" s="23"/>
    </row>
    <row r="123" spans="1:38" ht="14.25" customHeight="1" x14ac:dyDescent="0.35">
      <c r="A123" s="23"/>
      <c r="B123" s="23"/>
      <c r="C123" s="23"/>
      <c r="D123" s="23"/>
      <c r="E123" s="23"/>
      <c r="F123" s="23"/>
      <c r="G123" s="23"/>
      <c r="H123" s="24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5"/>
      <c r="Y123" s="23"/>
      <c r="Z123" s="23"/>
      <c r="AA123" s="24"/>
      <c r="AB123" s="25"/>
      <c r="AC123" s="24"/>
      <c r="AD123" s="25"/>
      <c r="AE123" s="23"/>
      <c r="AF123" s="23"/>
      <c r="AG123" s="23"/>
      <c r="AH123" s="23"/>
      <c r="AI123" s="24"/>
      <c r="AJ123" s="23"/>
      <c r="AK123" s="23"/>
      <c r="AL123" s="23"/>
    </row>
    <row r="124" spans="1:38" ht="14.25" customHeight="1" x14ac:dyDescent="0.35">
      <c r="A124" s="23"/>
      <c r="B124" s="23"/>
      <c r="C124" s="23"/>
      <c r="D124" s="23"/>
      <c r="E124" s="23"/>
      <c r="F124" s="23"/>
      <c r="G124" s="23"/>
      <c r="H124" s="24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5"/>
      <c r="Y124" s="23"/>
      <c r="Z124" s="23"/>
      <c r="AA124" s="24"/>
      <c r="AB124" s="25"/>
      <c r="AC124" s="24"/>
      <c r="AD124" s="25"/>
      <c r="AE124" s="23"/>
      <c r="AF124" s="23"/>
      <c r="AG124" s="23"/>
      <c r="AH124" s="23"/>
      <c r="AI124" s="24"/>
      <c r="AJ124" s="23"/>
      <c r="AK124" s="23"/>
      <c r="AL124" s="23"/>
    </row>
    <row r="125" spans="1:38" ht="14.25" customHeight="1" x14ac:dyDescent="0.35">
      <c r="A125" s="23"/>
      <c r="B125" s="23"/>
      <c r="C125" s="23"/>
      <c r="D125" s="23"/>
      <c r="E125" s="23"/>
      <c r="F125" s="23"/>
      <c r="G125" s="23"/>
      <c r="H125" s="24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5"/>
      <c r="Y125" s="23"/>
      <c r="Z125" s="23"/>
      <c r="AA125" s="24"/>
      <c r="AB125" s="25"/>
      <c r="AC125" s="24"/>
      <c r="AD125" s="25"/>
      <c r="AE125" s="23"/>
      <c r="AF125" s="23"/>
      <c r="AG125" s="23"/>
      <c r="AH125" s="23"/>
      <c r="AI125" s="24"/>
      <c r="AJ125" s="23"/>
      <c r="AK125" s="23"/>
      <c r="AL125" s="23"/>
    </row>
    <row r="126" spans="1:38" ht="14.25" customHeight="1" x14ac:dyDescent="0.35">
      <c r="A126" s="23"/>
      <c r="B126" s="23"/>
      <c r="C126" s="23"/>
      <c r="D126" s="23"/>
      <c r="E126" s="23"/>
      <c r="F126" s="23"/>
      <c r="G126" s="23"/>
      <c r="H126" s="24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5"/>
      <c r="Y126" s="23"/>
      <c r="Z126" s="23"/>
      <c r="AA126" s="24"/>
      <c r="AB126" s="25"/>
      <c r="AC126" s="24"/>
      <c r="AD126" s="25"/>
      <c r="AE126" s="23"/>
      <c r="AF126" s="23"/>
      <c r="AG126" s="23"/>
      <c r="AH126" s="23"/>
      <c r="AI126" s="24"/>
      <c r="AJ126" s="23"/>
      <c r="AK126" s="23"/>
      <c r="AL126" s="23"/>
    </row>
    <row r="127" spans="1:38" ht="14.25" customHeight="1" x14ac:dyDescent="0.35">
      <c r="A127" s="23"/>
      <c r="B127" s="23"/>
      <c r="C127" s="23"/>
      <c r="D127" s="23"/>
      <c r="E127" s="23"/>
      <c r="F127" s="23"/>
      <c r="G127" s="23"/>
      <c r="H127" s="24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5"/>
      <c r="Y127" s="23"/>
      <c r="Z127" s="23"/>
      <c r="AA127" s="24"/>
      <c r="AB127" s="25"/>
      <c r="AC127" s="24"/>
      <c r="AD127" s="25"/>
      <c r="AE127" s="23"/>
      <c r="AF127" s="23"/>
      <c r="AG127" s="23"/>
      <c r="AH127" s="23"/>
      <c r="AI127" s="24"/>
      <c r="AJ127" s="23"/>
      <c r="AK127" s="23"/>
      <c r="AL127" s="23"/>
    </row>
    <row r="128" spans="1:38" ht="14.25" customHeight="1" x14ac:dyDescent="0.35">
      <c r="A128" s="23"/>
      <c r="B128" s="23"/>
      <c r="C128" s="23"/>
      <c r="D128" s="23"/>
      <c r="E128" s="23"/>
      <c r="F128" s="23"/>
      <c r="G128" s="23"/>
      <c r="H128" s="24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5"/>
      <c r="Y128" s="23"/>
      <c r="Z128" s="23"/>
      <c r="AA128" s="24"/>
      <c r="AB128" s="25"/>
      <c r="AC128" s="24"/>
      <c r="AD128" s="25"/>
      <c r="AE128" s="23"/>
      <c r="AF128" s="23"/>
      <c r="AG128" s="23"/>
      <c r="AH128" s="23"/>
      <c r="AI128" s="24"/>
      <c r="AJ128" s="23"/>
      <c r="AK128" s="23"/>
      <c r="AL128" s="23"/>
    </row>
    <row r="129" spans="1:38" ht="14.25" customHeight="1" x14ac:dyDescent="0.35">
      <c r="A129" s="23"/>
      <c r="B129" s="23"/>
      <c r="C129" s="23"/>
      <c r="D129" s="23"/>
      <c r="E129" s="23"/>
      <c r="F129" s="23"/>
      <c r="G129" s="23"/>
      <c r="H129" s="24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5"/>
      <c r="Y129" s="23"/>
      <c r="Z129" s="23"/>
      <c r="AA129" s="24"/>
      <c r="AB129" s="25"/>
      <c r="AC129" s="24"/>
      <c r="AD129" s="25"/>
      <c r="AE129" s="23"/>
      <c r="AF129" s="23"/>
      <c r="AG129" s="23"/>
      <c r="AH129" s="23"/>
      <c r="AI129" s="24"/>
      <c r="AJ129" s="23"/>
      <c r="AK129" s="23"/>
      <c r="AL129" s="23"/>
    </row>
    <row r="130" spans="1:38" ht="14.25" customHeight="1" x14ac:dyDescent="0.35">
      <c r="A130" s="23"/>
      <c r="B130" s="23"/>
      <c r="C130" s="23"/>
      <c r="D130" s="23"/>
      <c r="E130" s="23"/>
      <c r="F130" s="23"/>
      <c r="G130" s="23"/>
      <c r="H130" s="24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5"/>
      <c r="Y130" s="23"/>
      <c r="Z130" s="23"/>
      <c r="AA130" s="24"/>
      <c r="AB130" s="25"/>
      <c r="AC130" s="24"/>
      <c r="AD130" s="25"/>
      <c r="AE130" s="23"/>
      <c r="AF130" s="23"/>
      <c r="AG130" s="23"/>
      <c r="AH130" s="23"/>
      <c r="AI130" s="24"/>
      <c r="AJ130" s="23"/>
      <c r="AK130" s="23"/>
      <c r="AL130" s="23"/>
    </row>
    <row r="131" spans="1:38" ht="14.25" customHeight="1" x14ac:dyDescent="0.35">
      <c r="A131" s="23"/>
      <c r="B131" s="23"/>
      <c r="C131" s="23"/>
      <c r="D131" s="23"/>
      <c r="E131" s="23"/>
      <c r="F131" s="23"/>
      <c r="G131" s="23"/>
      <c r="H131" s="24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5"/>
      <c r="Y131" s="23"/>
      <c r="Z131" s="23"/>
      <c r="AA131" s="24"/>
      <c r="AB131" s="25"/>
      <c r="AC131" s="24"/>
      <c r="AD131" s="25"/>
      <c r="AE131" s="23"/>
      <c r="AF131" s="23"/>
      <c r="AG131" s="23"/>
      <c r="AH131" s="23"/>
      <c r="AI131" s="24"/>
      <c r="AJ131" s="23"/>
      <c r="AK131" s="23"/>
      <c r="AL131" s="23"/>
    </row>
    <row r="132" spans="1:38" ht="14.25" customHeight="1" x14ac:dyDescent="0.35">
      <c r="A132" s="23"/>
      <c r="B132" s="23"/>
      <c r="C132" s="23"/>
      <c r="D132" s="23"/>
      <c r="E132" s="23"/>
      <c r="F132" s="23"/>
      <c r="G132" s="23"/>
      <c r="H132" s="24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5"/>
      <c r="Y132" s="23"/>
      <c r="Z132" s="23"/>
      <c r="AA132" s="24"/>
      <c r="AB132" s="25"/>
      <c r="AC132" s="24"/>
      <c r="AD132" s="25"/>
      <c r="AE132" s="23"/>
      <c r="AF132" s="23"/>
      <c r="AG132" s="23"/>
      <c r="AH132" s="23"/>
      <c r="AI132" s="24"/>
      <c r="AJ132" s="23"/>
      <c r="AK132" s="23"/>
      <c r="AL132" s="23"/>
    </row>
    <row r="133" spans="1:38" ht="14.25" customHeight="1" x14ac:dyDescent="0.35">
      <c r="A133" s="23"/>
      <c r="B133" s="23"/>
      <c r="C133" s="23"/>
      <c r="D133" s="23"/>
      <c r="E133" s="23"/>
      <c r="F133" s="23"/>
      <c r="G133" s="23"/>
      <c r="H133" s="24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5"/>
      <c r="Y133" s="23"/>
      <c r="Z133" s="23"/>
      <c r="AA133" s="24"/>
      <c r="AB133" s="25"/>
      <c r="AC133" s="24"/>
      <c r="AD133" s="25"/>
      <c r="AE133" s="23"/>
      <c r="AF133" s="23"/>
      <c r="AG133" s="23"/>
      <c r="AH133" s="23"/>
      <c r="AI133" s="24"/>
      <c r="AJ133" s="23"/>
      <c r="AK133" s="23"/>
      <c r="AL133" s="23"/>
    </row>
    <row r="134" spans="1:38" ht="14.25" customHeight="1" x14ac:dyDescent="0.35">
      <c r="A134" s="23"/>
      <c r="B134" s="23"/>
      <c r="C134" s="23"/>
      <c r="D134" s="23"/>
      <c r="E134" s="23"/>
      <c r="F134" s="23"/>
      <c r="G134" s="23"/>
      <c r="H134" s="24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5"/>
      <c r="Y134" s="23"/>
      <c r="Z134" s="23"/>
      <c r="AA134" s="24"/>
      <c r="AB134" s="25"/>
      <c r="AC134" s="24"/>
      <c r="AD134" s="25"/>
      <c r="AE134" s="23"/>
      <c r="AF134" s="23"/>
      <c r="AG134" s="23"/>
      <c r="AH134" s="23"/>
      <c r="AI134" s="24"/>
      <c r="AJ134" s="23"/>
      <c r="AK134" s="23"/>
      <c r="AL134" s="23"/>
    </row>
    <row r="135" spans="1:38" ht="14.25" customHeight="1" x14ac:dyDescent="0.35">
      <c r="A135" s="23"/>
      <c r="B135" s="23"/>
      <c r="C135" s="23"/>
      <c r="D135" s="23"/>
      <c r="E135" s="23"/>
      <c r="F135" s="23"/>
      <c r="G135" s="23"/>
      <c r="H135" s="24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5"/>
      <c r="Y135" s="23"/>
      <c r="Z135" s="23"/>
      <c r="AA135" s="24"/>
      <c r="AB135" s="25"/>
      <c r="AC135" s="24"/>
      <c r="AD135" s="25"/>
      <c r="AE135" s="23"/>
      <c r="AF135" s="23"/>
      <c r="AG135" s="23"/>
      <c r="AH135" s="23"/>
      <c r="AI135" s="24"/>
      <c r="AJ135" s="23"/>
      <c r="AK135" s="23"/>
      <c r="AL135" s="23"/>
    </row>
    <row r="136" spans="1:38" ht="14.25" customHeight="1" x14ac:dyDescent="0.35">
      <c r="A136" s="23"/>
      <c r="B136" s="23"/>
      <c r="C136" s="23"/>
      <c r="D136" s="23"/>
      <c r="E136" s="23"/>
      <c r="F136" s="23"/>
      <c r="G136" s="23"/>
      <c r="H136" s="24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5"/>
      <c r="Y136" s="23"/>
      <c r="Z136" s="23"/>
      <c r="AA136" s="24"/>
      <c r="AB136" s="25"/>
      <c r="AC136" s="24"/>
      <c r="AD136" s="25"/>
      <c r="AE136" s="23"/>
      <c r="AF136" s="23"/>
      <c r="AG136" s="23"/>
      <c r="AH136" s="23"/>
      <c r="AI136" s="24"/>
      <c r="AJ136" s="23"/>
      <c r="AK136" s="23"/>
      <c r="AL136" s="23"/>
    </row>
    <row r="137" spans="1:38" ht="14.25" customHeight="1" x14ac:dyDescent="0.35">
      <c r="A137" s="23"/>
      <c r="B137" s="23"/>
      <c r="C137" s="23"/>
      <c r="D137" s="23"/>
      <c r="E137" s="23"/>
      <c r="F137" s="23"/>
      <c r="G137" s="23"/>
      <c r="H137" s="24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5"/>
      <c r="Y137" s="23"/>
      <c r="Z137" s="23"/>
      <c r="AA137" s="24"/>
      <c r="AB137" s="25"/>
      <c r="AC137" s="24"/>
      <c r="AD137" s="25"/>
      <c r="AE137" s="23"/>
      <c r="AF137" s="23"/>
      <c r="AG137" s="23"/>
      <c r="AH137" s="23"/>
      <c r="AI137" s="24"/>
      <c r="AJ137" s="23"/>
      <c r="AK137" s="23"/>
      <c r="AL137" s="23"/>
    </row>
    <row r="138" spans="1:38" ht="14.25" customHeight="1" x14ac:dyDescent="0.35">
      <c r="A138" s="23"/>
      <c r="B138" s="23"/>
      <c r="C138" s="23"/>
      <c r="D138" s="23"/>
      <c r="E138" s="23"/>
      <c r="F138" s="23"/>
      <c r="G138" s="23"/>
      <c r="H138" s="24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5"/>
      <c r="Y138" s="23"/>
      <c r="Z138" s="23"/>
      <c r="AA138" s="24"/>
      <c r="AB138" s="25"/>
      <c r="AC138" s="24"/>
      <c r="AD138" s="25"/>
      <c r="AE138" s="23"/>
      <c r="AF138" s="23"/>
      <c r="AG138" s="23"/>
      <c r="AH138" s="23"/>
      <c r="AI138" s="24"/>
      <c r="AJ138" s="23"/>
      <c r="AK138" s="23"/>
      <c r="AL138" s="23"/>
    </row>
    <row r="139" spans="1:38" ht="14.25" customHeight="1" x14ac:dyDescent="0.35">
      <c r="A139" s="23"/>
      <c r="B139" s="23"/>
      <c r="C139" s="23"/>
      <c r="D139" s="23"/>
      <c r="E139" s="23"/>
      <c r="F139" s="23"/>
      <c r="G139" s="23"/>
      <c r="H139" s="24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5"/>
      <c r="Y139" s="23"/>
      <c r="Z139" s="23"/>
      <c r="AA139" s="24"/>
      <c r="AB139" s="25"/>
      <c r="AC139" s="24"/>
      <c r="AD139" s="25"/>
      <c r="AE139" s="23"/>
      <c r="AF139" s="23"/>
      <c r="AG139" s="23"/>
      <c r="AH139" s="23"/>
      <c r="AI139" s="24"/>
      <c r="AJ139" s="23"/>
      <c r="AK139" s="23"/>
      <c r="AL139" s="23"/>
    </row>
    <row r="140" spans="1:38" ht="14.25" customHeight="1" x14ac:dyDescent="0.35">
      <c r="A140" s="23"/>
      <c r="B140" s="23"/>
      <c r="C140" s="23"/>
      <c r="D140" s="23"/>
      <c r="E140" s="23"/>
      <c r="F140" s="23"/>
      <c r="G140" s="23"/>
      <c r="H140" s="24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5"/>
      <c r="Y140" s="23"/>
      <c r="Z140" s="23"/>
      <c r="AA140" s="24"/>
      <c r="AB140" s="25"/>
      <c r="AC140" s="24"/>
      <c r="AD140" s="25"/>
      <c r="AE140" s="23"/>
      <c r="AF140" s="23"/>
      <c r="AG140" s="23"/>
      <c r="AH140" s="23"/>
      <c r="AI140" s="24"/>
      <c r="AJ140" s="23"/>
      <c r="AK140" s="23"/>
      <c r="AL140" s="23"/>
    </row>
    <row r="141" spans="1:38" ht="14.25" customHeight="1" x14ac:dyDescent="0.35">
      <c r="A141" s="23"/>
      <c r="B141" s="23"/>
      <c r="C141" s="23"/>
      <c r="D141" s="23"/>
      <c r="E141" s="23"/>
      <c r="F141" s="23"/>
      <c r="G141" s="23"/>
      <c r="H141" s="24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5"/>
      <c r="Y141" s="23"/>
      <c r="Z141" s="23"/>
      <c r="AA141" s="24"/>
      <c r="AB141" s="25"/>
      <c r="AC141" s="24"/>
      <c r="AD141" s="25"/>
      <c r="AE141" s="23"/>
      <c r="AF141" s="23"/>
      <c r="AG141" s="23"/>
      <c r="AH141" s="23"/>
      <c r="AI141" s="24"/>
      <c r="AJ141" s="23"/>
      <c r="AK141" s="23"/>
      <c r="AL141" s="23"/>
    </row>
    <row r="142" spans="1:38" ht="14.25" customHeight="1" x14ac:dyDescent="0.35">
      <c r="A142" s="23"/>
      <c r="B142" s="23"/>
      <c r="C142" s="23"/>
      <c r="D142" s="23"/>
      <c r="E142" s="23"/>
      <c r="F142" s="23"/>
      <c r="G142" s="23"/>
      <c r="H142" s="24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5"/>
      <c r="Y142" s="23"/>
      <c r="Z142" s="23"/>
      <c r="AA142" s="24"/>
      <c r="AB142" s="25"/>
      <c r="AC142" s="24"/>
      <c r="AD142" s="25"/>
      <c r="AE142" s="23"/>
      <c r="AF142" s="23"/>
      <c r="AG142" s="23"/>
      <c r="AH142" s="23"/>
      <c r="AI142" s="24"/>
      <c r="AJ142" s="23"/>
      <c r="AK142" s="23"/>
      <c r="AL142" s="23"/>
    </row>
    <row r="143" spans="1:38" ht="14.25" customHeight="1" x14ac:dyDescent="0.35">
      <c r="A143" s="23"/>
      <c r="B143" s="23"/>
      <c r="C143" s="23"/>
      <c r="D143" s="23"/>
      <c r="E143" s="23"/>
      <c r="F143" s="23"/>
      <c r="G143" s="23"/>
      <c r="H143" s="24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5"/>
      <c r="Y143" s="23"/>
      <c r="Z143" s="23"/>
      <c r="AA143" s="24"/>
      <c r="AB143" s="25"/>
      <c r="AC143" s="24"/>
      <c r="AD143" s="25"/>
      <c r="AE143" s="23"/>
      <c r="AF143" s="23"/>
      <c r="AG143" s="23"/>
      <c r="AH143" s="23"/>
      <c r="AI143" s="24"/>
      <c r="AJ143" s="23"/>
      <c r="AK143" s="23"/>
      <c r="AL143" s="23"/>
    </row>
    <row r="144" spans="1:38" ht="14.25" customHeight="1" x14ac:dyDescent="0.35">
      <c r="A144" s="23"/>
      <c r="B144" s="23"/>
      <c r="C144" s="23"/>
      <c r="D144" s="23"/>
      <c r="E144" s="23"/>
      <c r="F144" s="23"/>
      <c r="G144" s="23"/>
      <c r="H144" s="24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5"/>
      <c r="Y144" s="23"/>
      <c r="Z144" s="23"/>
      <c r="AA144" s="24"/>
      <c r="AB144" s="25"/>
      <c r="AC144" s="24"/>
      <c r="AD144" s="25"/>
      <c r="AE144" s="23"/>
      <c r="AF144" s="23"/>
      <c r="AG144" s="23"/>
      <c r="AH144" s="23"/>
      <c r="AI144" s="24"/>
      <c r="AJ144" s="23"/>
      <c r="AK144" s="23"/>
      <c r="AL144" s="23"/>
    </row>
    <row r="145" spans="1:38" ht="14.25" customHeight="1" x14ac:dyDescent="0.35">
      <c r="A145" s="23"/>
      <c r="B145" s="23"/>
      <c r="C145" s="23"/>
      <c r="D145" s="23"/>
      <c r="E145" s="23"/>
      <c r="F145" s="23"/>
      <c r="G145" s="23"/>
      <c r="H145" s="24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5"/>
      <c r="Y145" s="23"/>
      <c r="Z145" s="23"/>
      <c r="AA145" s="24"/>
      <c r="AB145" s="25"/>
      <c r="AC145" s="24"/>
      <c r="AD145" s="25"/>
      <c r="AE145" s="23"/>
      <c r="AF145" s="23"/>
      <c r="AG145" s="23"/>
      <c r="AH145" s="23"/>
      <c r="AI145" s="24"/>
      <c r="AJ145" s="23"/>
      <c r="AK145" s="23"/>
      <c r="AL145" s="23"/>
    </row>
    <row r="146" spans="1:38" ht="14.25" customHeight="1" x14ac:dyDescent="0.35">
      <c r="A146" s="23"/>
      <c r="B146" s="23"/>
      <c r="C146" s="23"/>
      <c r="D146" s="23"/>
      <c r="E146" s="23"/>
      <c r="F146" s="23"/>
      <c r="G146" s="23"/>
      <c r="H146" s="24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5"/>
      <c r="Y146" s="23"/>
      <c r="Z146" s="23"/>
      <c r="AA146" s="24"/>
      <c r="AB146" s="25"/>
      <c r="AC146" s="24"/>
      <c r="AD146" s="25"/>
      <c r="AE146" s="23"/>
      <c r="AF146" s="23"/>
      <c r="AG146" s="23"/>
      <c r="AH146" s="23"/>
      <c r="AI146" s="24"/>
      <c r="AJ146" s="23"/>
      <c r="AK146" s="23"/>
      <c r="AL146" s="23"/>
    </row>
    <row r="147" spans="1:38" ht="14.25" customHeight="1" x14ac:dyDescent="0.35">
      <c r="A147" s="23"/>
      <c r="B147" s="23"/>
      <c r="C147" s="23"/>
      <c r="D147" s="23"/>
      <c r="E147" s="23"/>
      <c r="F147" s="23"/>
      <c r="G147" s="23"/>
      <c r="H147" s="24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5"/>
      <c r="Y147" s="23"/>
      <c r="Z147" s="23"/>
      <c r="AA147" s="24"/>
      <c r="AB147" s="25"/>
      <c r="AC147" s="24"/>
      <c r="AD147" s="25"/>
      <c r="AE147" s="23"/>
      <c r="AF147" s="23"/>
      <c r="AG147" s="23"/>
      <c r="AH147" s="23"/>
      <c r="AI147" s="24"/>
      <c r="AJ147" s="23"/>
      <c r="AK147" s="23"/>
      <c r="AL147" s="23"/>
    </row>
    <row r="148" spans="1:38" ht="14.25" customHeight="1" x14ac:dyDescent="0.35">
      <c r="A148" s="23"/>
      <c r="B148" s="23"/>
      <c r="C148" s="23"/>
      <c r="D148" s="23"/>
      <c r="E148" s="23"/>
      <c r="F148" s="23"/>
      <c r="G148" s="23"/>
      <c r="H148" s="24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5"/>
      <c r="Y148" s="23"/>
      <c r="Z148" s="23"/>
      <c r="AA148" s="24"/>
      <c r="AB148" s="25"/>
      <c r="AC148" s="24"/>
      <c r="AD148" s="25"/>
      <c r="AE148" s="23"/>
      <c r="AF148" s="23"/>
      <c r="AG148" s="23"/>
      <c r="AH148" s="23"/>
      <c r="AI148" s="24"/>
      <c r="AJ148" s="23"/>
      <c r="AK148" s="23"/>
      <c r="AL148" s="23"/>
    </row>
    <row r="149" spans="1:38" ht="14.25" customHeight="1" x14ac:dyDescent="0.35">
      <c r="A149" s="23"/>
      <c r="B149" s="23"/>
      <c r="C149" s="23"/>
      <c r="D149" s="23"/>
      <c r="E149" s="23"/>
      <c r="F149" s="23"/>
      <c r="G149" s="23"/>
      <c r="H149" s="24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5"/>
      <c r="Y149" s="23"/>
      <c r="Z149" s="23"/>
      <c r="AA149" s="24"/>
      <c r="AB149" s="25"/>
      <c r="AC149" s="24"/>
      <c r="AD149" s="25"/>
      <c r="AE149" s="23"/>
      <c r="AF149" s="23"/>
      <c r="AG149" s="23"/>
      <c r="AH149" s="23"/>
      <c r="AI149" s="24"/>
      <c r="AJ149" s="23"/>
      <c r="AK149" s="23"/>
      <c r="AL149" s="23"/>
    </row>
    <row r="150" spans="1:38" ht="14.25" customHeight="1" x14ac:dyDescent="0.35">
      <c r="A150" s="23"/>
      <c r="B150" s="23"/>
      <c r="C150" s="23"/>
      <c r="D150" s="23"/>
      <c r="E150" s="23"/>
      <c r="F150" s="23"/>
      <c r="G150" s="23"/>
      <c r="H150" s="24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5"/>
      <c r="Y150" s="23"/>
      <c r="Z150" s="23"/>
      <c r="AA150" s="24"/>
      <c r="AB150" s="25"/>
      <c r="AC150" s="24"/>
      <c r="AD150" s="25"/>
      <c r="AE150" s="23"/>
      <c r="AF150" s="23"/>
      <c r="AG150" s="23"/>
      <c r="AH150" s="23"/>
      <c r="AI150" s="24"/>
      <c r="AJ150" s="23"/>
      <c r="AK150" s="23"/>
      <c r="AL150" s="23"/>
    </row>
    <row r="151" spans="1:38" ht="14.25" customHeight="1" x14ac:dyDescent="0.35">
      <c r="A151" s="23"/>
      <c r="B151" s="23"/>
      <c r="C151" s="23"/>
      <c r="D151" s="23"/>
      <c r="E151" s="23"/>
      <c r="F151" s="23"/>
      <c r="G151" s="23"/>
      <c r="H151" s="24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5"/>
      <c r="Y151" s="23"/>
      <c r="Z151" s="23"/>
      <c r="AA151" s="24"/>
      <c r="AB151" s="25"/>
      <c r="AC151" s="24"/>
      <c r="AD151" s="25"/>
      <c r="AE151" s="23"/>
      <c r="AF151" s="23"/>
      <c r="AG151" s="23"/>
      <c r="AH151" s="23"/>
      <c r="AI151" s="24"/>
      <c r="AJ151" s="23"/>
      <c r="AK151" s="23"/>
      <c r="AL151" s="23"/>
    </row>
    <row r="152" spans="1:38" ht="14.25" customHeight="1" x14ac:dyDescent="0.35">
      <c r="A152" s="23"/>
      <c r="B152" s="23"/>
      <c r="C152" s="23"/>
      <c r="D152" s="23"/>
      <c r="E152" s="23"/>
      <c r="F152" s="23"/>
      <c r="G152" s="23"/>
      <c r="H152" s="24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5"/>
      <c r="Y152" s="23"/>
      <c r="Z152" s="23"/>
      <c r="AA152" s="24"/>
      <c r="AB152" s="25"/>
      <c r="AC152" s="24"/>
      <c r="AD152" s="25"/>
      <c r="AE152" s="23"/>
      <c r="AF152" s="23"/>
      <c r="AG152" s="23"/>
      <c r="AH152" s="23"/>
      <c r="AI152" s="24"/>
      <c r="AJ152" s="23"/>
      <c r="AK152" s="23"/>
      <c r="AL152" s="23"/>
    </row>
    <row r="153" spans="1:38" ht="14.25" customHeight="1" x14ac:dyDescent="0.35">
      <c r="A153" s="23"/>
      <c r="B153" s="23"/>
      <c r="C153" s="23"/>
      <c r="D153" s="23"/>
      <c r="E153" s="23"/>
      <c r="F153" s="23"/>
      <c r="G153" s="23"/>
      <c r="H153" s="24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5"/>
      <c r="Y153" s="23"/>
      <c r="Z153" s="23"/>
      <c r="AA153" s="24"/>
      <c r="AB153" s="25"/>
      <c r="AC153" s="24"/>
      <c r="AD153" s="25"/>
      <c r="AE153" s="23"/>
      <c r="AF153" s="23"/>
      <c r="AG153" s="23"/>
      <c r="AH153" s="23"/>
      <c r="AI153" s="24"/>
      <c r="AJ153" s="23"/>
      <c r="AK153" s="23"/>
      <c r="AL153" s="23"/>
    </row>
    <row r="154" spans="1:38" ht="14.25" customHeight="1" x14ac:dyDescent="0.35">
      <c r="A154" s="23"/>
      <c r="B154" s="23"/>
      <c r="C154" s="23"/>
      <c r="D154" s="23"/>
      <c r="E154" s="23"/>
      <c r="F154" s="23"/>
      <c r="G154" s="23"/>
      <c r="H154" s="24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5"/>
      <c r="Y154" s="23"/>
      <c r="Z154" s="23"/>
      <c r="AA154" s="24"/>
      <c r="AB154" s="25"/>
      <c r="AC154" s="24"/>
      <c r="AD154" s="25"/>
      <c r="AE154" s="23"/>
      <c r="AF154" s="23"/>
      <c r="AG154" s="23"/>
      <c r="AH154" s="23"/>
      <c r="AI154" s="24"/>
      <c r="AJ154" s="23"/>
      <c r="AK154" s="23"/>
      <c r="AL154" s="23"/>
    </row>
    <row r="155" spans="1:38" ht="14.25" customHeight="1" x14ac:dyDescent="0.35">
      <c r="A155" s="23"/>
      <c r="B155" s="23"/>
      <c r="C155" s="23"/>
      <c r="D155" s="23"/>
      <c r="E155" s="23"/>
      <c r="F155" s="23"/>
      <c r="G155" s="23"/>
      <c r="H155" s="24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5"/>
      <c r="Y155" s="23"/>
      <c r="Z155" s="23"/>
      <c r="AA155" s="24"/>
      <c r="AB155" s="25"/>
      <c r="AC155" s="24"/>
      <c r="AD155" s="25"/>
      <c r="AE155" s="23"/>
      <c r="AF155" s="23"/>
      <c r="AG155" s="23"/>
      <c r="AH155" s="23"/>
      <c r="AI155" s="24"/>
      <c r="AJ155" s="23"/>
      <c r="AK155" s="23"/>
      <c r="AL155" s="23"/>
    </row>
    <row r="156" spans="1:38" ht="14.25" customHeight="1" x14ac:dyDescent="0.35">
      <c r="A156" s="23"/>
      <c r="B156" s="23"/>
      <c r="C156" s="23"/>
      <c r="D156" s="23"/>
      <c r="E156" s="23"/>
      <c r="F156" s="23"/>
      <c r="G156" s="23"/>
      <c r="H156" s="24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5"/>
      <c r="Y156" s="23"/>
      <c r="Z156" s="23"/>
      <c r="AA156" s="24"/>
      <c r="AB156" s="25"/>
      <c r="AC156" s="24"/>
      <c r="AD156" s="25"/>
      <c r="AE156" s="23"/>
      <c r="AF156" s="23"/>
      <c r="AG156" s="23"/>
      <c r="AH156" s="23"/>
      <c r="AI156" s="24"/>
      <c r="AJ156" s="23"/>
      <c r="AK156" s="23"/>
      <c r="AL156" s="23"/>
    </row>
    <row r="157" spans="1:38" ht="14.25" customHeight="1" x14ac:dyDescent="0.35">
      <c r="A157" s="23"/>
      <c r="B157" s="23"/>
      <c r="C157" s="23"/>
      <c r="D157" s="23"/>
      <c r="E157" s="23"/>
      <c r="F157" s="23"/>
      <c r="G157" s="23"/>
      <c r="H157" s="24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5"/>
      <c r="Y157" s="23"/>
      <c r="Z157" s="23"/>
      <c r="AA157" s="24"/>
      <c r="AB157" s="25"/>
      <c r="AC157" s="24"/>
      <c r="AD157" s="25"/>
      <c r="AE157" s="23"/>
      <c r="AF157" s="23"/>
      <c r="AG157" s="23"/>
      <c r="AH157" s="23"/>
      <c r="AI157" s="24"/>
      <c r="AJ157" s="23"/>
      <c r="AK157" s="23"/>
      <c r="AL157" s="23"/>
    </row>
    <row r="158" spans="1:38" ht="14.25" customHeight="1" x14ac:dyDescent="0.35">
      <c r="A158" s="23"/>
      <c r="B158" s="23"/>
      <c r="C158" s="23"/>
      <c r="D158" s="23"/>
      <c r="E158" s="23"/>
      <c r="F158" s="23"/>
      <c r="G158" s="23"/>
      <c r="H158" s="24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5"/>
      <c r="Y158" s="23"/>
      <c r="Z158" s="23"/>
      <c r="AA158" s="24"/>
      <c r="AB158" s="25"/>
      <c r="AC158" s="24"/>
      <c r="AD158" s="25"/>
      <c r="AE158" s="23"/>
      <c r="AF158" s="23"/>
      <c r="AG158" s="23"/>
      <c r="AH158" s="23"/>
      <c r="AI158" s="24"/>
      <c r="AJ158" s="23"/>
      <c r="AK158" s="23"/>
      <c r="AL158" s="23"/>
    </row>
    <row r="159" spans="1:38" ht="14.25" customHeight="1" x14ac:dyDescent="0.35">
      <c r="A159" s="23"/>
      <c r="B159" s="23"/>
      <c r="C159" s="23"/>
      <c r="D159" s="23"/>
      <c r="E159" s="23"/>
      <c r="F159" s="23"/>
      <c r="G159" s="23"/>
      <c r="H159" s="24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5"/>
      <c r="Y159" s="23"/>
      <c r="Z159" s="23"/>
      <c r="AA159" s="24"/>
      <c r="AB159" s="25"/>
      <c r="AC159" s="24"/>
      <c r="AD159" s="25"/>
      <c r="AE159" s="23"/>
      <c r="AF159" s="23"/>
      <c r="AG159" s="23"/>
      <c r="AH159" s="23"/>
      <c r="AI159" s="24"/>
      <c r="AJ159" s="23"/>
      <c r="AK159" s="23"/>
      <c r="AL159" s="23"/>
    </row>
    <row r="160" spans="1:38" ht="14.25" customHeight="1" x14ac:dyDescent="0.35">
      <c r="A160" s="23"/>
      <c r="B160" s="23"/>
      <c r="C160" s="23"/>
      <c r="D160" s="23"/>
      <c r="E160" s="23"/>
      <c r="F160" s="23"/>
      <c r="G160" s="23"/>
      <c r="H160" s="24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5"/>
      <c r="Y160" s="23"/>
      <c r="Z160" s="23"/>
      <c r="AA160" s="24"/>
      <c r="AB160" s="25"/>
      <c r="AC160" s="24"/>
      <c r="AD160" s="25"/>
      <c r="AE160" s="23"/>
      <c r="AF160" s="23"/>
      <c r="AG160" s="23"/>
      <c r="AH160" s="23"/>
      <c r="AI160" s="24"/>
      <c r="AJ160" s="23"/>
      <c r="AK160" s="23"/>
      <c r="AL160" s="23"/>
    </row>
    <row r="161" spans="1:38" ht="14.25" customHeight="1" x14ac:dyDescent="0.35">
      <c r="A161" s="23"/>
      <c r="B161" s="23"/>
      <c r="C161" s="23"/>
      <c r="D161" s="23"/>
      <c r="E161" s="23"/>
      <c r="F161" s="23"/>
      <c r="G161" s="23"/>
      <c r="H161" s="24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5"/>
      <c r="Y161" s="23"/>
      <c r="Z161" s="23"/>
      <c r="AA161" s="24"/>
      <c r="AB161" s="25"/>
      <c r="AC161" s="24"/>
      <c r="AD161" s="25"/>
      <c r="AE161" s="23"/>
      <c r="AF161" s="23"/>
      <c r="AG161" s="23"/>
      <c r="AH161" s="23"/>
      <c r="AI161" s="24"/>
      <c r="AJ161" s="23"/>
      <c r="AK161" s="23"/>
      <c r="AL161" s="23"/>
    </row>
    <row r="162" spans="1:38" ht="14.25" customHeight="1" x14ac:dyDescent="0.35">
      <c r="A162" s="23"/>
      <c r="B162" s="23"/>
      <c r="C162" s="23"/>
      <c r="D162" s="23"/>
      <c r="E162" s="23"/>
      <c r="F162" s="23"/>
      <c r="G162" s="23"/>
      <c r="H162" s="24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5"/>
      <c r="Y162" s="23"/>
      <c r="Z162" s="23"/>
      <c r="AA162" s="24"/>
      <c r="AB162" s="25"/>
      <c r="AC162" s="24"/>
      <c r="AD162" s="25"/>
      <c r="AE162" s="23"/>
      <c r="AF162" s="23"/>
      <c r="AG162" s="23"/>
      <c r="AH162" s="23"/>
      <c r="AI162" s="24"/>
      <c r="AJ162" s="23"/>
      <c r="AK162" s="23"/>
      <c r="AL162" s="23"/>
    </row>
    <row r="163" spans="1:38" ht="14.25" customHeight="1" x14ac:dyDescent="0.35">
      <c r="A163" s="23"/>
      <c r="B163" s="23"/>
      <c r="C163" s="23"/>
      <c r="D163" s="23"/>
      <c r="E163" s="23"/>
      <c r="F163" s="23"/>
      <c r="G163" s="23"/>
      <c r="H163" s="24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5"/>
      <c r="Y163" s="23"/>
      <c r="Z163" s="23"/>
      <c r="AA163" s="24"/>
      <c r="AB163" s="25"/>
      <c r="AC163" s="24"/>
      <c r="AD163" s="25"/>
      <c r="AE163" s="23"/>
      <c r="AF163" s="23"/>
      <c r="AG163" s="23"/>
      <c r="AH163" s="23"/>
      <c r="AI163" s="24"/>
      <c r="AJ163" s="23"/>
      <c r="AK163" s="23"/>
      <c r="AL163" s="23"/>
    </row>
    <row r="164" spans="1:38" ht="14.25" customHeight="1" x14ac:dyDescent="0.35">
      <c r="A164" s="23"/>
      <c r="B164" s="23"/>
      <c r="C164" s="23"/>
      <c r="D164" s="23"/>
      <c r="E164" s="23"/>
      <c r="F164" s="23"/>
      <c r="G164" s="23"/>
      <c r="H164" s="24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5"/>
      <c r="Y164" s="23"/>
      <c r="Z164" s="23"/>
      <c r="AA164" s="24"/>
      <c r="AB164" s="25"/>
      <c r="AC164" s="24"/>
      <c r="AD164" s="25"/>
      <c r="AE164" s="23"/>
      <c r="AF164" s="23"/>
      <c r="AG164" s="23"/>
      <c r="AH164" s="23"/>
      <c r="AI164" s="24"/>
      <c r="AJ164" s="23"/>
      <c r="AK164" s="23"/>
      <c r="AL164" s="23"/>
    </row>
    <row r="165" spans="1:38" ht="14.25" customHeight="1" x14ac:dyDescent="0.35">
      <c r="A165" s="23"/>
      <c r="B165" s="23"/>
      <c r="C165" s="23"/>
      <c r="D165" s="23"/>
      <c r="E165" s="23"/>
      <c r="F165" s="23"/>
      <c r="G165" s="23"/>
      <c r="H165" s="24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5"/>
      <c r="Y165" s="23"/>
      <c r="Z165" s="23"/>
      <c r="AA165" s="24"/>
      <c r="AB165" s="25"/>
      <c r="AC165" s="24"/>
      <c r="AD165" s="25"/>
      <c r="AE165" s="23"/>
      <c r="AF165" s="23"/>
      <c r="AG165" s="23"/>
      <c r="AH165" s="23"/>
      <c r="AI165" s="24"/>
      <c r="AJ165" s="23"/>
      <c r="AK165" s="23"/>
      <c r="AL165" s="23"/>
    </row>
    <row r="166" spans="1:38" ht="14.25" customHeight="1" x14ac:dyDescent="0.35">
      <c r="A166" s="23"/>
      <c r="B166" s="23"/>
      <c r="C166" s="23"/>
      <c r="D166" s="23"/>
      <c r="E166" s="23"/>
      <c r="F166" s="23"/>
      <c r="G166" s="23"/>
      <c r="H166" s="24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5"/>
      <c r="Y166" s="23"/>
      <c r="Z166" s="23"/>
      <c r="AA166" s="24"/>
      <c r="AB166" s="25"/>
      <c r="AC166" s="24"/>
      <c r="AD166" s="25"/>
      <c r="AE166" s="23"/>
      <c r="AF166" s="23"/>
      <c r="AG166" s="23"/>
      <c r="AH166" s="23"/>
      <c r="AI166" s="24"/>
      <c r="AJ166" s="23"/>
      <c r="AK166" s="23"/>
      <c r="AL166" s="23"/>
    </row>
    <row r="167" spans="1:38" ht="14.25" customHeight="1" x14ac:dyDescent="0.35">
      <c r="A167" s="23"/>
      <c r="B167" s="23"/>
      <c r="C167" s="23"/>
      <c r="D167" s="23"/>
      <c r="E167" s="23"/>
      <c r="F167" s="23"/>
      <c r="G167" s="23"/>
      <c r="H167" s="24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5"/>
      <c r="Y167" s="23"/>
      <c r="Z167" s="23"/>
      <c r="AA167" s="24"/>
      <c r="AB167" s="25"/>
      <c r="AC167" s="24"/>
      <c r="AD167" s="25"/>
      <c r="AE167" s="23"/>
      <c r="AF167" s="23"/>
      <c r="AG167" s="23"/>
      <c r="AH167" s="23"/>
      <c r="AI167" s="24"/>
      <c r="AJ167" s="23"/>
      <c r="AK167" s="23"/>
      <c r="AL167" s="23"/>
    </row>
    <row r="168" spans="1:38" ht="14.25" customHeight="1" x14ac:dyDescent="0.35">
      <c r="A168" s="23"/>
      <c r="B168" s="23"/>
      <c r="C168" s="23"/>
      <c r="D168" s="23"/>
      <c r="E168" s="23"/>
      <c r="F168" s="23"/>
      <c r="G168" s="23"/>
      <c r="H168" s="24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5"/>
      <c r="Y168" s="23"/>
      <c r="Z168" s="23"/>
      <c r="AA168" s="24"/>
      <c r="AB168" s="25"/>
      <c r="AC168" s="24"/>
      <c r="AD168" s="25"/>
      <c r="AE168" s="23"/>
      <c r="AF168" s="23"/>
      <c r="AG168" s="23"/>
      <c r="AH168" s="23"/>
      <c r="AI168" s="24"/>
      <c r="AJ168" s="23"/>
      <c r="AK168" s="23"/>
      <c r="AL168" s="23"/>
    </row>
    <row r="169" spans="1:38" ht="14.25" customHeight="1" x14ac:dyDescent="0.35">
      <c r="A169" s="23"/>
      <c r="B169" s="23"/>
      <c r="C169" s="23"/>
      <c r="D169" s="23"/>
      <c r="E169" s="23"/>
      <c r="F169" s="23"/>
      <c r="G169" s="23"/>
      <c r="H169" s="24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5"/>
      <c r="Y169" s="23"/>
      <c r="Z169" s="23"/>
      <c r="AA169" s="24"/>
      <c r="AB169" s="25"/>
      <c r="AC169" s="24"/>
      <c r="AD169" s="25"/>
      <c r="AE169" s="23"/>
      <c r="AF169" s="23"/>
      <c r="AG169" s="23"/>
      <c r="AH169" s="23"/>
      <c r="AI169" s="24"/>
      <c r="AJ169" s="23"/>
      <c r="AK169" s="23"/>
      <c r="AL169" s="23"/>
    </row>
    <row r="170" spans="1:38" ht="14.25" customHeight="1" x14ac:dyDescent="0.35">
      <c r="A170" s="23"/>
      <c r="B170" s="23"/>
      <c r="C170" s="23"/>
      <c r="D170" s="23"/>
      <c r="E170" s="23"/>
      <c r="F170" s="23"/>
      <c r="G170" s="23"/>
      <c r="H170" s="24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5"/>
      <c r="Y170" s="23"/>
      <c r="Z170" s="23"/>
      <c r="AA170" s="24"/>
      <c r="AB170" s="25"/>
      <c r="AC170" s="24"/>
      <c r="AD170" s="25"/>
      <c r="AE170" s="23"/>
      <c r="AF170" s="23"/>
      <c r="AG170" s="23"/>
      <c r="AH170" s="23"/>
      <c r="AI170" s="24"/>
      <c r="AJ170" s="23"/>
      <c r="AK170" s="23"/>
      <c r="AL170" s="23"/>
    </row>
    <row r="171" spans="1:38" ht="14.25" customHeight="1" x14ac:dyDescent="0.35">
      <c r="A171" s="23"/>
      <c r="B171" s="23"/>
      <c r="C171" s="23"/>
      <c r="D171" s="23"/>
      <c r="E171" s="23"/>
      <c r="F171" s="23"/>
      <c r="G171" s="23"/>
      <c r="H171" s="24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5"/>
      <c r="Y171" s="23"/>
      <c r="Z171" s="23"/>
      <c r="AA171" s="24"/>
      <c r="AB171" s="25"/>
      <c r="AC171" s="24"/>
      <c r="AD171" s="25"/>
      <c r="AE171" s="23"/>
      <c r="AF171" s="23"/>
      <c r="AG171" s="23"/>
      <c r="AH171" s="23"/>
      <c r="AI171" s="24"/>
      <c r="AJ171" s="23"/>
      <c r="AK171" s="23"/>
      <c r="AL171" s="23"/>
    </row>
    <row r="172" spans="1:38" ht="14.25" customHeight="1" x14ac:dyDescent="0.35">
      <c r="A172" s="23"/>
      <c r="B172" s="23"/>
      <c r="C172" s="23"/>
      <c r="D172" s="23"/>
      <c r="E172" s="23"/>
      <c r="F172" s="23"/>
      <c r="G172" s="23"/>
      <c r="H172" s="24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5"/>
      <c r="Y172" s="23"/>
      <c r="Z172" s="23"/>
      <c r="AA172" s="24"/>
      <c r="AB172" s="25"/>
      <c r="AC172" s="24"/>
      <c r="AD172" s="25"/>
      <c r="AE172" s="23"/>
      <c r="AF172" s="23"/>
      <c r="AG172" s="23"/>
      <c r="AH172" s="23"/>
      <c r="AI172" s="24"/>
      <c r="AJ172" s="23"/>
      <c r="AK172" s="23"/>
      <c r="AL172" s="23"/>
    </row>
    <row r="173" spans="1:38" ht="14.25" customHeight="1" x14ac:dyDescent="0.35">
      <c r="A173" s="23"/>
      <c r="B173" s="23"/>
      <c r="C173" s="23"/>
      <c r="D173" s="23"/>
      <c r="E173" s="23"/>
      <c r="F173" s="23"/>
      <c r="G173" s="23"/>
      <c r="H173" s="24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5"/>
      <c r="Y173" s="23"/>
      <c r="Z173" s="23"/>
      <c r="AA173" s="24"/>
      <c r="AB173" s="25"/>
      <c r="AC173" s="24"/>
      <c r="AD173" s="25"/>
      <c r="AE173" s="23"/>
      <c r="AF173" s="23"/>
      <c r="AG173" s="23"/>
      <c r="AH173" s="23"/>
      <c r="AI173" s="24"/>
      <c r="AJ173" s="23"/>
      <c r="AK173" s="23"/>
      <c r="AL173" s="23"/>
    </row>
    <row r="174" spans="1:38" ht="14.25" customHeight="1" x14ac:dyDescent="0.35">
      <c r="A174" s="23"/>
      <c r="B174" s="23"/>
      <c r="C174" s="23"/>
      <c r="D174" s="23"/>
      <c r="E174" s="23"/>
      <c r="F174" s="23"/>
      <c r="G174" s="23"/>
      <c r="H174" s="24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5"/>
      <c r="Y174" s="23"/>
      <c r="Z174" s="23"/>
      <c r="AA174" s="24"/>
      <c r="AB174" s="25"/>
      <c r="AC174" s="24"/>
      <c r="AD174" s="25"/>
      <c r="AE174" s="23"/>
      <c r="AF174" s="23"/>
      <c r="AG174" s="23"/>
      <c r="AH174" s="23"/>
      <c r="AI174" s="24"/>
      <c r="AJ174" s="23"/>
      <c r="AK174" s="23"/>
      <c r="AL174" s="23"/>
    </row>
    <row r="175" spans="1:38" ht="14.25" customHeight="1" x14ac:dyDescent="0.35">
      <c r="A175" s="23"/>
      <c r="B175" s="23"/>
      <c r="C175" s="23"/>
      <c r="D175" s="23"/>
      <c r="E175" s="23"/>
      <c r="F175" s="23"/>
      <c r="G175" s="23"/>
      <c r="H175" s="24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5"/>
      <c r="Y175" s="23"/>
      <c r="Z175" s="23"/>
      <c r="AA175" s="24"/>
      <c r="AB175" s="25"/>
      <c r="AC175" s="24"/>
      <c r="AD175" s="25"/>
      <c r="AE175" s="23"/>
      <c r="AF175" s="23"/>
      <c r="AG175" s="23"/>
      <c r="AH175" s="23"/>
      <c r="AI175" s="24"/>
      <c r="AJ175" s="23"/>
      <c r="AK175" s="23"/>
      <c r="AL175" s="23"/>
    </row>
    <row r="176" spans="1:38" ht="14.25" customHeight="1" x14ac:dyDescent="0.35">
      <c r="A176" s="23"/>
      <c r="B176" s="23"/>
      <c r="C176" s="23"/>
      <c r="D176" s="23"/>
      <c r="E176" s="23"/>
      <c r="F176" s="23"/>
      <c r="G176" s="23"/>
      <c r="H176" s="24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5"/>
      <c r="Y176" s="23"/>
      <c r="Z176" s="23"/>
      <c r="AA176" s="24"/>
      <c r="AB176" s="25"/>
      <c r="AC176" s="24"/>
      <c r="AD176" s="25"/>
      <c r="AE176" s="23"/>
      <c r="AF176" s="23"/>
      <c r="AG176" s="23"/>
      <c r="AH176" s="23"/>
      <c r="AI176" s="24"/>
      <c r="AJ176" s="23"/>
      <c r="AK176" s="23"/>
      <c r="AL176" s="23"/>
    </row>
    <row r="177" spans="1:38" ht="14.25" customHeight="1" x14ac:dyDescent="0.35">
      <c r="A177" s="23"/>
      <c r="B177" s="23"/>
      <c r="C177" s="23"/>
      <c r="D177" s="23"/>
      <c r="E177" s="23"/>
      <c r="F177" s="23"/>
      <c r="G177" s="23"/>
      <c r="H177" s="24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5"/>
      <c r="Y177" s="23"/>
      <c r="Z177" s="23"/>
      <c r="AA177" s="24"/>
      <c r="AB177" s="25"/>
      <c r="AC177" s="24"/>
      <c r="AD177" s="25"/>
      <c r="AE177" s="23"/>
      <c r="AF177" s="23"/>
      <c r="AG177" s="23"/>
      <c r="AH177" s="23"/>
      <c r="AI177" s="24"/>
      <c r="AJ177" s="23"/>
      <c r="AK177" s="23"/>
      <c r="AL177" s="23"/>
    </row>
    <row r="178" spans="1:38" ht="14.25" customHeight="1" x14ac:dyDescent="0.35">
      <c r="A178" s="23"/>
      <c r="B178" s="23"/>
      <c r="C178" s="23"/>
      <c r="D178" s="23"/>
      <c r="E178" s="23"/>
      <c r="F178" s="23"/>
      <c r="G178" s="23"/>
      <c r="H178" s="24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5"/>
      <c r="Y178" s="23"/>
      <c r="Z178" s="23"/>
      <c r="AA178" s="24"/>
      <c r="AB178" s="25"/>
      <c r="AC178" s="24"/>
      <c r="AD178" s="25"/>
      <c r="AE178" s="23"/>
      <c r="AF178" s="23"/>
      <c r="AG178" s="23"/>
      <c r="AH178" s="23"/>
      <c r="AI178" s="24"/>
      <c r="AJ178" s="23"/>
      <c r="AK178" s="23"/>
      <c r="AL178" s="23"/>
    </row>
    <row r="179" spans="1:38" ht="14.25" customHeight="1" x14ac:dyDescent="0.35">
      <c r="A179" s="23"/>
      <c r="B179" s="23"/>
      <c r="C179" s="23"/>
      <c r="D179" s="23"/>
      <c r="E179" s="23"/>
      <c r="F179" s="23"/>
      <c r="G179" s="23"/>
      <c r="H179" s="24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5"/>
      <c r="Y179" s="23"/>
      <c r="Z179" s="23"/>
      <c r="AA179" s="24"/>
      <c r="AB179" s="25"/>
      <c r="AC179" s="24"/>
      <c r="AD179" s="25"/>
      <c r="AE179" s="23"/>
      <c r="AF179" s="23"/>
      <c r="AG179" s="23"/>
      <c r="AH179" s="23"/>
      <c r="AI179" s="24"/>
      <c r="AJ179" s="23"/>
      <c r="AK179" s="23"/>
      <c r="AL179" s="23"/>
    </row>
    <row r="180" spans="1:38" ht="14.25" customHeight="1" x14ac:dyDescent="0.35">
      <c r="A180" s="23"/>
      <c r="B180" s="23"/>
      <c r="C180" s="23"/>
      <c r="D180" s="23"/>
      <c r="E180" s="23"/>
      <c r="F180" s="23"/>
      <c r="G180" s="23"/>
      <c r="H180" s="24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5"/>
      <c r="Y180" s="23"/>
      <c r="Z180" s="23"/>
      <c r="AA180" s="24"/>
      <c r="AB180" s="25"/>
      <c r="AC180" s="24"/>
      <c r="AD180" s="25"/>
      <c r="AE180" s="23"/>
      <c r="AF180" s="23"/>
      <c r="AG180" s="23"/>
      <c r="AH180" s="23"/>
      <c r="AI180" s="24"/>
      <c r="AJ180" s="23"/>
      <c r="AK180" s="23"/>
      <c r="AL180" s="23"/>
    </row>
    <row r="181" spans="1:38" ht="14.25" customHeight="1" x14ac:dyDescent="0.35">
      <c r="A181" s="23"/>
      <c r="B181" s="23"/>
      <c r="C181" s="23"/>
      <c r="D181" s="23"/>
      <c r="E181" s="23"/>
      <c r="F181" s="23"/>
      <c r="G181" s="23"/>
      <c r="H181" s="24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5"/>
      <c r="Y181" s="23"/>
      <c r="Z181" s="23"/>
      <c r="AA181" s="24"/>
      <c r="AB181" s="25"/>
      <c r="AC181" s="24"/>
      <c r="AD181" s="25"/>
      <c r="AE181" s="23"/>
      <c r="AF181" s="23"/>
      <c r="AG181" s="23"/>
      <c r="AH181" s="23"/>
      <c r="AI181" s="24"/>
      <c r="AJ181" s="23"/>
      <c r="AK181" s="23"/>
      <c r="AL181" s="23"/>
    </row>
    <row r="182" spans="1:38" ht="14.25" customHeight="1" x14ac:dyDescent="0.35">
      <c r="A182" s="23"/>
      <c r="B182" s="23"/>
      <c r="C182" s="23"/>
      <c r="D182" s="23"/>
      <c r="E182" s="23"/>
      <c r="F182" s="23"/>
      <c r="G182" s="23"/>
      <c r="H182" s="24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5"/>
      <c r="Y182" s="23"/>
      <c r="Z182" s="23"/>
      <c r="AA182" s="24"/>
      <c r="AB182" s="25"/>
      <c r="AC182" s="24"/>
      <c r="AD182" s="25"/>
      <c r="AE182" s="23"/>
      <c r="AF182" s="23"/>
      <c r="AG182" s="23"/>
      <c r="AH182" s="23"/>
      <c r="AI182" s="24"/>
      <c r="AJ182" s="23"/>
      <c r="AK182" s="23"/>
      <c r="AL182" s="23"/>
    </row>
    <row r="183" spans="1:38" ht="14.25" customHeight="1" x14ac:dyDescent="0.35">
      <c r="A183" s="23"/>
      <c r="B183" s="23"/>
      <c r="C183" s="23"/>
      <c r="D183" s="23"/>
      <c r="E183" s="23"/>
      <c r="F183" s="23"/>
      <c r="G183" s="23"/>
      <c r="H183" s="24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5"/>
      <c r="Y183" s="23"/>
      <c r="Z183" s="23"/>
      <c r="AA183" s="24"/>
      <c r="AB183" s="25"/>
      <c r="AC183" s="24"/>
      <c r="AD183" s="25"/>
      <c r="AE183" s="23"/>
      <c r="AF183" s="23"/>
      <c r="AG183" s="23"/>
      <c r="AH183" s="23"/>
      <c r="AI183" s="24"/>
      <c r="AJ183" s="23"/>
      <c r="AK183" s="23"/>
      <c r="AL183" s="23"/>
    </row>
    <row r="184" spans="1:38" ht="14.25" customHeight="1" x14ac:dyDescent="0.35">
      <c r="A184" s="23"/>
      <c r="B184" s="23"/>
      <c r="C184" s="23"/>
      <c r="D184" s="23"/>
      <c r="E184" s="23"/>
      <c r="F184" s="23"/>
      <c r="G184" s="23"/>
      <c r="H184" s="24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5"/>
      <c r="Y184" s="23"/>
      <c r="Z184" s="23"/>
      <c r="AA184" s="24"/>
      <c r="AB184" s="25"/>
      <c r="AC184" s="24"/>
      <c r="AD184" s="25"/>
      <c r="AE184" s="23"/>
      <c r="AF184" s="23"/>
      <c r="AG184" s="23"/>
      <c r="AH184" s="23"/>
      <c r="AI184" s="24"/>
      <c r="AJ184" s="23"/>
      <c r="AK184" s="23"/>
      <c r="AL184" s="23"/>
    </row>
    <row r="185" spans="1:38" ht="14.25" customHeight="1" x14ac:dyDescent="0.35">
      <c r="A185" s="23"/>
      <c r="B185" s="23"/>
      <c r="C185" s="23"/>
      <c r="D185" s="23"/>
      <c r="E185" s="23"/>
      <c r="F185" s="23"/>
      <c r="G185" s="23"/>
      <c r="H185" s="24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5"/>
      <c r="Y185" s="23"/>
      <c r="Z185" s="23"/>
      <c r="AA185" s="24"/>
      <c r="AB185" s="25"/>
      <c r="AC185" s="24"/>
      <c r="AD185" s="25"/>
      <c r="AE185" s="23"/>
      <c r="AF185" s="23"/>
      <c r="AG185" s="23"/>
      <c r="AH185" s="23"/>
      <c r="AI185" s="24"/>
      <c r="AJ185" s="23"/>
      <c r="AK185" s="23"/>
      <c r="AL185" s="23"/>
    </row>
    <row r="186" spans="1:38" ht="14.25" customHeight="1" x14ac:dyDescent="0.35">
      <c r="A186" s="23"/>
      <c r="B186" s="23"/>
      <c r="C186" s="23"/>
      <c r="D186" s="23"/>
      <c r="E186" s="23"/>
      <c r="F186" s="23"/>
      <c r="G186" s="23"/>
      <c r="H186" s="24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5"/>
      <c r="Y186" s="23"/>
      <c r="Z186" s="23"/>
      <c r="AA186" s="24"/>
      <c r="AB186" s="25"/>
      <c r="AC186" s="24"/>
      <c r="AD186" s="25"/>
      <c r="AE186" s="23"/>
      <c r="AF186" s="23"/>
      <c r="AG186" s="23"/>
      <c r="AH186" s="23"/>
      <c r="AI186" s="24"/>
      <c r="AJ186" s="23"/>
      <c r="AK186" s="23"/>
      <c r="AL186" s="23"/>
    </row>
    <row r="187" spans="1:38" ht="14.25" customHeight="1" x14ac:dyDescent="0.35">
      <c r="A187" s="23"/>
      <c r="B187" s="23"/>
      <c r="C187" s="23"/>
      <c r="D187" s="23"/>
      <c r="E187" s="23"/>
      <c r="F187" s="23"/>
      <c r="G187" s="23"/>
      <c r="H187" s="24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5"/>
      <c r="Y187" s="23"/>
      <c r="Z187" s="23"/>
      <c r="AA187" s="24"/>
      <c r="AB187" s="25"/>
      <c r="AC187" s="24"/>
      <c r="AD187" s="25"/>
      <c r="AE187" s="23"/>
      <c r="AF187" s="23"/>
      <c r="AG187" s="23"/>
      <c r="AH187" s="23"/>
      <c r="AI187" s="24"/>
      <c r="AJ187" s="23"/>
      <c r="AK187" s="23"/>
      <c r="AL187" s="23"/>
    </row>
    <row r="188" spans="1:38" ht="14.25" customHeight="1" x14ac:dyDescent="0.35">
      <c r="A188" s="23"/>
      <c r="B188" s="23"/>
      <c r="C188" s="23"/>
      <c r="D188" s="23"/>
      <c r="E188" s="23"/>
      <c r="F188" s="23"/>
      <c r="G188" s="23"/>
      <c r="H188" s="24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5"/>
      <c r="Y188" s="23"/>
      <c r="Z188" s="23"/>
      <c r="AA188" s="24"/>
      <c r="AB188" s="25"/>
      <c r="AC188" s="24"/>
      <c r="AD188" s="25"/>
      <c r="AE188" s="23"/>
      <c r="AF188" s="23"/>
      <c r="AG188" s="23"/>
      <c r="AH188" s="23"/>
      <c r="AI188" s="24"/>
      <c r="AJ188" s="23"/>
      <c r="AK188" s="23"/>
      <c r="AL188" s="23"/>
    </row>
    <row r="189" spans="1:38" ht="14.25" customHeight="1" x14ac:dyDescent="0.35">
      <c r="A189" s="23"/>
      <c r="B189" s="23"/>
      <c r="C189" s="23"/>
      <c r="D189" s="23"/>
      <c r="E189" s="23"/>
      <c r="F189" s="23"/>
      <c r="G189" s="23"/>
      <c r="H189" s="24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5"/>
      <c r="Y189" s="23"/>
      <c r="Z189" s="23"/>
      <c r="AA189" s="24"/>
      <c r="AB189" s="25"/>
      <c r="AC189" s="24"/>
      <c r="AD189" s="25"/>
      <c r="AE189" s="23"/>
      <c r="AF189" s="23"/>
      <c r="AG189" s="23"/>
      <c r="AH189" s="23"/>
      <c r="AI189" s="24"/>
      <c r="AJ189" s="23"/>
      <c r="AK189" s="23"/>
      <c r="AL189" s="23"/>
    </row>
    <row r="190" spans="1:38" ht="14.25" customHeight="1" x14ac:dyDescent="0.35">
      <c r="A190" s="23"/>
      <c r="B190" s="23"/>
      <c r="C190" s="23"/>
      <c r="D190" s="23"/>
      <c r="E190" s="23"/>
      <c r="F190" s="23"/>
      <c r="G190" s="23"/>
      <c r="H190" s="24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5"/>
      <c r="Y190" s="23"/>
      <c r="Z190" s="23"/>
      <c r="AA190" s="24"/>
      <c r="AB190" s="25"/>
      <c r="AC190" s="24"/>
      <c r="AD190" s="25"/>
      <c r="AE190" s="23"/>
      <c r="AF190" s="23"/>
      <c r="AG190" s="23"/>
      <c r="AH190" s="23"/>
      <c r="AI190" s="24"/>
      <c r="AJ190" s="23"/>
      <c r="AK190" s="23"/>
      <c r="AL190" s="23"/>
    </row>
    <row r="191" spans="1:38" ht="14.25" customHeight="1" x14ac:dyDescent="0.35">
      <c r="A191" s="23"/>
      <c r="B191" s="23"/>
      <c r="C191" s="23"/>
      <c r="D191" s="23"/>
      <c r="E191" s="23"/>
      <c r="F191" s="23"/>
      <c r="G191" s="23"/>
      <c r="H191" s="24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5"/>
      <c r="Y191" s="23"/>
      <c r="Z191" s="23"/>
      <c r="AA191" s="24"/>
      <c r="AB191" s="25"/>
      <c r="AC191" s="24"/>
      <c r="AD191" s="25"/>
      <c r="AE191" s="23"/>
      <c r="AF191" s="23"/>
      <c r="AG191" s="23"/>
      <c r="AH191" s="23"/>
      <c r="AI191" s="24"/>
      <c r="AJ191" s="23"/>
      <c r="AK191" s="23"/>
      <c r="AL191" s="23"/>
    </row>
    <row r="192" spans="1:38" ht="14.25" customHeight="1" x14ac:dyDescent="0.35">
      <c r="A192" s="23"/>
      <c r="B192" s="23"/>
      <c r="C192" s="23"/>
      <c r="D192" s="23"/>
      <c r="E192" s="23"/>
      <c r="F192" s="23"/>
      <c r="G192" s="23"/>
      <c r="H192" s="24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5"/>
      <c r="Y192" s="23"/>
      <c r="Z192" s="23"/>
      <c r="AA192" s="24"/>
      <c r="AB192" s="25"/>
      <c r="AC192" s="24"/>
      <c r="AD192" s="25"/>
      <c r="AE192" s="23"/>
      <c r="AF192" s="23"/>
      <c r="AG192" s="23"/>
      <c r="AH192" s="23"/>
      <c r="AI192" s="24"/>
      <c r="AJ192" s="23"/>
      <c r="AK192" s="23"/>
      <c r="AL192" s="23"/>
    </row>
    <row r="193" spans="1:38" ht="14.25" customHeight="1" x14ac:dyDescent="0.35">
      <c r="A193" s="23"/>
      <c r="B193" s="23"/>
      <c r="C193" s="23"/>
      <c r="D193" s="23"/>
      <c r="E193" s="23"/>
      <c r="F193" s="23"/>
      <c r="G193" s="23"/>
      <c r="H193" s="24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5"/>
      <c r="Y193" s="23"/>
      <c r="Z193" s="23"/>
      <c r="AA193" s="24"/>
      <c r="AB193" s="25"/>
      <c r="AC193" s="24"/>
      <c r="AD193" s="25"/>
      <c r="AE193" s="23"/>
      <c r="AF193" s="23"/>
      <c r="AG193" s="23"/>
      <c r="AH193" s="23"/>
      <c r="AI193" s="24"/>
      <c r="AJ193" s="23"/>
      <c r="AK193" s="23"/>
      <c r="AL193" s="23"/>
    </row>
    <row r="194" spans="1:38" ht="14.25" customHeight="1" x14ac:dyDescent="0.35">
      <c r="A194" s="23"/>
      <c r="B194" s="23"/>
      <c r="C194" s="23"/>
      <c r="D194" s="23"/>
      <c r="E194" s="23"/>
      <c r="F194" s="23"/>
      <c r="G194" s="23"/>
      <c r="H194" s="24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5"/>
      <c r="Y194" s="23"/>
      <c r="Z194" s="23"/>
      <c r="AA194" s="24"/>
      <c r="AB194" s="25"/>
      <c r="AC194" s="24"/>
      <c r="AD194" s="25"/>
      <c r="AE194" s="23"/>
      <c r="AF194" s="23"/>
      <c r="AG194" s="23"/>
      <c r="AH194" s="23"/>
      <c r="AI194" s="24"/>
      <c r="AJ194" s="23"/>
      <c r="AK194" s="23"/>
      <c r="AL194" s="23"/>
    </row>
    <row r="195" spans="1:38" ht="14.25" customHeight="1" x14ac:dyDescent="0.35">
      <c r="A195" s="23"/>
      <c r="B195" s="23"/>
      <c r="C195" s="23"/>
      <c r="D195" s="23"/>
      <c r="E195" s="23"/>
      <c r="F195" s="23"/>
      <c r="G195" s="23"/>
      <c r="H195" s="24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5"/>
      <c r="Y195" s="23"/>
      <c r="Z195" s="23"/>
      <c r="AA195" s="24"/>
      <c r="AB195" s="25"/>
      <c r="AC195" s="24"/>
      <c r="AD195" s="25"/>
      <c r="AE195" s="23"/>
      <c r="AF195" s="23"/>
      <c r="AG195" s="23"/>
      <c r="AH195" s="23"/>
      <c r="AI195" s="24"/>
      <c r="AJ195" s="23"/>
      <c r="AK195" s="23"/>
      <c r="AL195" s="23"/>
    </row>
    <row r="196" spans="1:38" ht="14.25" customHeight="1" x14ac:dyDescent="0.35">
      <c r="A196" s="23"/>
      <c r="B196" s="23"/>
      <c r="C196" s="23"/>
      <c r="D196" s="23"/>
      <c r="E196" s="23"/>
      <c r="F196" s="23"/>
      <c r="G196" s="23"/>
      <c r="H196" s="24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5"/>
      <c r="Y196" s="23"/>
      <c r="Z196" s="23"/>
      <c r="AA196" s="24"/>
      <c r="AB196" s="25"/>
      <c r="AC196" s="24"/>
      <c r="AD196" s="25"/>
      <c r="AE196" s="23"/>
      <c r="AF196" s="23"/>
      <c r="AG196" s="23"/>
      <c r="AH196" s="23"/>
      <c r="AI196" s="24"/>
      <c r="AJ196" s="23"/>
      <c r="AK196" s="23"/>
      <c r="AL196" s="23"/>
    </row>
    <row r="197" spans="1:38" ht="14.25" customHeight="1" x14ac:dyDescent="0.35">
      <c r="A197" s="23"/>
      <c r="B197" s="23"/>
      <c r="C197" s="23"/>
      <c r="D197" s="23"/>
      <c r="E197" s="23"/>
      <c r="F197" s="23"/>
      <c r="G197" s="23"/>
      <c r="H197" s="24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5"/>
      <c r="Y197" s="23"/>
      <c r="Z197" s="23"/>
      <c r="AA197" s="24"/>
      <c r="AB197" s="25"/>
      <c r="AC197" s="24"/>
      <c r="AD197" s="25"/>
      <c r="AE197" s="23"/>
      <c r="AF197" s="23"/>
      <c r="AG197" s="23"/>
      <c r="AH197" s="23"/>
      <c r="AI197" s="24"/>
      <c r="AJ197" s="23"/>
      <c r="AK197" s="23"/>
      <c r="AL197" s="23"/>
    </row>
    <row r="198" spans="1:38" ht="14.25" customHeight="1" x14ac:dyDescent="0.35">
      <c r="A198" s="23"/>
      <c r="B198" s="23"/>
      <c r="C198" s="23"/>
      <c r="D198" s="23"/>
      <c r="E198" s="23"/>
      <c r="F198" s="23"/>
      <c r="G198" s="23"/>
      <c r="H198" s="24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5"/>
      <c r="Y198" s="23"/>
      <c r="Z198" s="23"/>
      <c r="AA198" s="24"/>
      <c r="AB198" s="25"/>
      <c r="AC198" s="24"/>
      <c r="AD198" s="25"/>
      <c r="AE198" s="23"/>
      <c r="AF198" s="23"/>
      <c r="AG198" s="23"/>
      <c r="AH198" s="23"/>
      <c r="AI198" s="24"/>
      <c r="AJ198" s="23"/>
      <c r="AK198" s="23"/>
      <c r="AL198" s="23"/>
    </row>
    <row r="199" spans="1:38" ht="14.25" customHeight="1" x14ac:dyDescent="0.35">
      <c r="A199" s="23"/>
      <c r="B199" s="23"/>
      <c r="C199" s="23"/>
      <c r="D199" s="23"/>
      <c r="E199" s="23"/>
      <c r="F199" s="23"/>
      <c r="G199" s="23"/>
      <c r="H199" s="24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5"/>
      <c r="Y199" s="23"/>
      <c r="Z199" s="23"/>
      <c r="AA199" s="24"/>
      <c r="AB199" s="25"/>
      <c r="AC199" s="24"/>
      <c r="AD199" s="25"/>
      <c r="AE199" s="23"/>
      <c r="AF199" s="23"/>
      <c r="AG199" s="23"/>
      <c r="AH199" s="23"/>
      <c r="AI199" s="24"/>
      <c r="AJ199" s="23"/>
      <c r="AK199" s="23"/>
      <c r="AL199" s="23"/>
    </row>
    <row r="200" spans="1:38" ht="14.25" customHeight="1" x14ac:dyDescent="0.35">
      <c r="A200" s="23"/>
      <c r="B200" s="23"/>
      <c r="C200" s="23"/>
      <c r="D200" s="23"/>
      <c r="E200" s="23"/>
      <c r="F200" s="23"/>
      <c r="G200" s="23"/>
      <c r="H200" s="24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5"/>
      <c r="Y200" s="23"/>
      <c r="Z200" s="23"/>
      <c r="AA200" s="24"/>
      <c r="AB200" s="25"/>
      <c r="AC200" s="24"/>
      <c r="AD200" s="25"/>
      <c r="AE200" s="23"/>
      <c r="AF200" s="23"/>
      <c r="AG200" s="23"/>
      <c r="AH200" s="23"/>
      <c r="AI200" s="24"/>
      <c r="AJ200" s="23"/>
      <c r="AK200" s="23"/>
      <c r="AL200" s="23"/>
    </row>
    <row r="201" spans="1:38" ht="14.25" customHeight="1" x14ac:dyDescent="0.35">
      <c r="A201" s="23"/>
      <c r="B201" s="23"/>
      <c r="C201" s="23"/>
      <c r="D201" s="23"/>
      <c r="E201" s="23"/>
      <c r="F201" s="23"/>
      <c r="G201" s="23"/>
      <c r="H201" s="24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5"/>
      <c r="Y201" s="23"/>
      <c r="Z201" s="23"/>
      <c r="AA201" s="24"/>
      <c r="AB201" s="25"/>
      <c r="AC201" s="24"/>
      <c r="AD201" s="25"/>
      <c r="AE201" s="23"/>
      <c r="AF201" s="23"/>
      <c r="AG201" s="23"/>
      <c r="AH201" s="23"/>
      <c r="AI201" s="24"/>
      <c r="AJ201" s="23"/>
      <c r="AK201" s="23"/>
      <c r="AL201" s="23"/>
    </row>
    <row r="202" spans="1:38" ht="14.25" customHeight="1" x14ac:dyDescent="0.35">
      <c r="A202" s="23"/>
      <c r="B202" s="23"/>
      <c r="C202" s="23"/>
      <c r="D202" s="23"/>
      <c r="E202" s="23"/>
      <c r="F202" s="23"/>
      <c r="G202" s="23"/>
      <c r="H202" s="24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5"/>
      <c r="Y202" s="23"/>
      <c r="Z202" s="23"/>
      <c r="AA202" s="24"/>
      <c r="AB202" s="25"/>
      <c r="AC202" s="24"/>
      <c r="AD202" s="25"/>
      <c r="AE202" s="23"/>
      <c r="AF202" s="23"/>
      <c r="AG202" s="23"/>
      <c r="AH202" s="23"/>
      <c r="AI202" s="24"/>
      <c r="AJ202" s="23"/>
      <c r="AK202" s="23"/>
      <c r="AL202" s="23"/>
    </row>
    <row r="203" spans="1:38" ht="14.25" customHeight="1" x14ac:dyDescent="0.35">
      <c r="A203" s="23"/>
      <c r="B203" s="23"/>
      <c r="C203" s="23"/>
      <c r="D203" s="23"/>
      <c r="E203" s="23"/>
      <c r="F203" s="23"/>
      <c r="G203" s="23"/>
      <c r="H203" s="24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5"/>
      <c r="Y203" s="23"/>
      <c r="Z203" s="23"/>
      <c r="AA203" s="24"/>
      <c r="AB203" s="25"/>
      <c r="AC203" s="24"/>
      <c r="AD203" s="25"/>
      <c r="AE203" s="23"/>
      <c r="AF203" s="23"/>
      <c r="AG203" s="23"/>
      <c r="AH203" s="23"/>
      <c r="AI203" s="24"/>
      <c r="AJ203" s="23"/>
      <c r="AK203" s="23"/>
      <c r="AL203" s="23"/>
    </row>
    <row r="204" spans="1:38" ht="14.25" customHeight="1" x14ac:dyDescent="0.35">
      <c r="A204" s="23"/>
      <c r="B204" s="23"/>
      <c r="C204" s="23"/>
      <c r="D204" s="23"/>
      <c r="E204" s="23"/>
      <c r="F204" s="23"/>
      <c r="G204" s="23"/>
      <c r="H204" s="24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5"/>
      <c r="Y204" s="23"/>
      <c r="Z204" s="23"/>
      <c r="AA204" s="24"/>
      <c r="AB204" s="25"/>
      <c r="AC204" s="24"/>
      <c r="AD204" s="25"/>
      <c r="AE204" s="23"/>
      <c r="AF204" s="23"/>
      <c r="AG204" s="23"/>
      <c r="AH204" s="23"/>
      <c r="AI204" s="24"/>
      <c r="AJ204" s="23"/>
      <c r="AK204" s="23"/>
      <c r="AL204" s="23"/>
    </row>
    <row r="205" spans="1:38" ht="14.25" customHeight="1" x14ac:dyDescent="0.35">
      <c r="A205" s="23"/>
      <c r="B205" s="23"/>
      <c r="C205" s="23"/>
      <c r="D205" s="23"/>
      <c r="E205" s="23"/>
      <c r="F205" s="23"/>
      <c r="G205" s="23"/>
      <c r="H205" s="24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5"/>
      <c r="Y205" s="23"/>
      <c r="Z205" s="23"/>
      <c r="AA205" s="24"/>
      <c r="AB205" s="25"/>
      <c r="AC205" s="24"/>
      <c r="AD205" s="25"/>
      <c r="AE205" s="23"/>
      <c r="AF205" s="23"/>
      <c r="AG205" s="23"/>
      <c r="AH205" s="23"/>
      <c r="AI205" s="24"/>
      <c r="AJ205" s="23"/>
      <c r="AK205" s="23"/>
      <c r="AL205" s="23"/>
    </row>
    <row r="206" spans="1:38" ht="14.25" customHeight="1" x14ac:dyDescent="0.35">
      <c r="A206" s="23"/>
      <c r="B206" s="23"/>
      <c r="C206" s="23"/>
      <c r="D206" s="23"/>
      <c r="E206" s="23"/>
      <c r="F206" s="23"/>
      <c r="G206" s="23"/>
      <c r="H206" s="24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5"/>
      <c r="Y206" s="23"/>
      <c r="Z206" s="23"/>
      <c r="AA206" s="24"/>
      <c r="AB206" s="25"/>
      <c r="AC206" s="24"/>
      <c r="AD206" s="25"/>
      <c r="AE206" s="23"/>
      <c r="AF206" s="23"/>
      <c r="AG206" s="23"/>
      <c r="AH206" s="23"/>
      <c r="AI206" s="24"/>
      <c r="AJ206" s="23"/>
      <c r="AK206" s="23"/>
      <c r="AL206" s="23"/>
    </row>
    <row r="207" spans="1:38" ht="14.25" customHeight="1" x14ac:dyDescent="0.35">
      <c r="A207" s="23"/>
      <c r="B207" s="23"/>
      <c r="C207" s="23"/>
      <c r="D207" s="23"/>
      <c r="E207" s="23"/>
      <c r="F207" s="23"/>
      <c r="G207" s="23"/>
      <c r="H207" s="24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5"/>
      <c r="Y207" s="23"/>
      <c r="Z207" s="23"/>
      <c r="AA207" s="24"/>
      <c r="AB207" s="25"/>
      <c r="AC207" s="24"/>
      <c r="AD207" s="25"/>
      <c r="AE207" s="23"/>
      <c r="AF207" s="23"/>
      <c r="AG207" s="23"/>
      <c r="AH207" s="23"/>
      <c r="AI207" s="24"/>
      <c r="AJ207" s="23"/>
      <c r="AK207" s="23"/>
      <c r="AL207" s="23"/>
    </row>
    <row r="208" spans="1:38" ht="14.25" customHeight="1" x14ac:dyDescent="0.35">
      <c r="A208" s="23"/>
      <c r="B208" s="23"/>
      <c r="C208" s="23"/>
      <c r="D208" s="23"/>
      <c r="E208" s="23"/>
      <c r="F208" s="23"/>
      <c r="G208" s="23"/>
      <c r="H208" s="24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5"/>
      <c r="Y208" s="23"/>
      <c r="Z208" s="23"/>
      <c r="AA208" s="24"/>
      <c r="AB208" s="25"/>
      <c r="AC208" s="24"/>
      <c r="AD208" s="25"/>
      <c r="AE208" s="23"/>
      <c r="AF208" s="23"/>
      <c r="AG208" s="23"/>
      <c r="AH208" s="23"/>
      <c r="AI208" s="24"/>
      <c r="AJ208" s="23"/>
      <c r="AK208" s="23"/>
      <c r="AL208" s="23"/>
    </row>
    <row r="209" spans="1:38" ht="14.25" customHeight="1" x14ac:dyDescent="0.35">
      <c r="A209" s="23"/>
      <c r="B209" s="23"/>
      <c r="C209" s="23"/>
      <c r="D209" s="23"/>
      <c r="E209" s="23"/>
      <c r="F209" s="23"/>
      <c r="G209" s="23"/>
      <c r="H209" s="24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5"/>
      <c r="Y209" s="23"/>
      <c r="Z209" s="23"/>
      <c r="AA209" s="24"/>
      <c r="AB209" s="25"/>
      <c r="AC209" s="24"/>
      <c r="AD209" s="25"/>
      <c r="AE209" s="23"/>
      <c r="AF209" s="23"/>
      <c r="AG209" s="23"/>
      <c r="AH209" s="23"/>
      <c r="AI209" s="24"/>
      <c r="AJ209" s="23"/>
      <c r="AK209" s="23"/>
      <c r="AL209" s="23"/>
    </row>
    <row r="210" spans="1:38" ht="14.25" customHeight="1" x14ac:dyDescent="0.35">
      <c r="A210" s="23"/>
      <c r="B210" s="23"/>
      <c r="C210" s="23"/>
      <c r="D210" s="23"/>
      <c r="E210" s="23"/>
      <c r="F210" s="23"/>
      <c r="G210" s="23"/>
      <c r="H210" s="24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5"/>
      <c r="Y210" s="23"/>
      <c r="Z210" s="23"/>
      <c r="AA210" s="24"/>
      <c r="AB210" s="25"/>
      <c r="AC210" s="24"/>
      <c r="AD210" s="25"/>
      <c r="AE210" s="23"/>
      <c r="AF210" s="23"/>
      <c r="AG210" s="23"/>
      <c r="AH210" s="23"/>
      <c r="AI210" s="24"/>
      <c r="AJ210" s="23"/>
      <c r="AK210" s="23"/>
      <c r="AL210" s="23"/>
    </row>
    <row r="211" spans="1:38" ht="14.25" customHeight="1" x14ac:dyDescent="0.35">
      <c r="A211" s="23"/>
      <c r="B211" s="23"/>
      <c r="C211" s="23"/>
      <c r="D211" s="23"/>
      <c r="E211" s="23"/>
      <c r="F211" s="23"/>
      <c r="G211" s="23"/>
      <c r="H211" s="24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5"/>
      <c r="Y211" s="23"/>
      <c r="Z211" s="23"/>
      <c r="AA211" s="24"/>
      <c r="AB211" s="25"/>
      <c r="AC211" s="24"/>
      <c r="AD211" s="25"/>
      <c r="AE211" s="23"/>
      <c r="AF211" s="23"/>
      <c r="AG211" s="23"/>
      <c r="AH211" s="23"/>
      <c r="AI211" s="24"/>
      <c r="AJ211" s="23"/>
      <c r="AK211" s="23"/>
      <c r="AL211" s="23"/>
    </row>
    <row r="212" spans="1:38" ht="14.25" customHeight="1" x14ac:dyDescent="0.35">
      <c r="A212" s="23"/>
      <c r="B212" s="23"/>
      <c r="C212" s="23"/>
      <c r="D212" s="23"/>
      <c r="E212" s="23"/>
      <c r="F212" s="23"/>
      <c r="G212" s="23"/>
      <c r="H212" s="24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5"/>
      <c r="Y212" s="23"/>
      <c r="Z212" s="23"/>
      <c r="AA212" s="24"/>
      <c r="AB212" s="25"/>
      <c r="AC212" s="24"/>
      <c r="AD212" s="25"/>
      <c r="AE212" s="23"/>
      <c r="AF212" s="23"/>
      <c r="AG212" s="23"/>
      <c r="AH212" s="23"/>
      <c r="AI212" s="24"/>
      <c r="AJ212" s="23"/>
      <c r="AK212" s="23"/>
      <c r="AL212" s="23"/>
    </row>
    <row r="213" spans="1:38" ht="14.25" customHeight="1" x14ac:dyDescent="0.35">
      <c r="A213" s="23"/>
      <c r="B213" s="23"/>
      <c r="C213" s="23"/>
      <c r="D213" s="23"/>
      <c r="E213" s="23"/>
      <c r="F213" s="23"/>
      <c r="G213" s="23"/>
      <c r="H213" s="24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5"/>
      <c r="Y213" s="23"/>
      <c r="Z213" s="23"/>
      <c r="AA213" s="24"/>
      <c r="AB213" s="25"/>
      <c r="AC213" s="24"/>
      <c r="AD213" s="25"/>
      <c r="AE213" s="23"/>
      <c r="AF213" s="23"/>
      <c r="AG213" s="23"/>
      <c r="AH213" s="23"/>
      <c r="AI213" s="24"/>
      <c r="AJ213" s="23"/>
      <c r="AK213" s="23"/>
      <c r="AL213" s="23"/>
    </row>
    <row r="214" spans="1:38" ht="14.25" customHeight="1" x14ac:dyDescent="0.35">
      <c r="A214" s="23"/>
      <c r="B214" s="23"/>
      <c r="C214" s="23"/>
      <c r="D214" s="23"/>
      <c r="E214" s="23"/>
      <c r="F214" s="23"/>
      <c r="G214" s="23"/>
      <c r="H214" s="24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5"/>
      <c r="Y214" s="23"/>
      <c r="Z214" s="23"/>
      <c r="AA214" s="24"/>
      <c r="AB214" s="25"/>
      <c r="AC214" s="24"/>
      <c r="AD214" s="25"/>
      <c r="AE214" s="23"/>
      <c r="AF214" s="23"/>
      <c r="AG214" s="23"/>
      <c r="AH214" s="23"/>
      <c r="AI214" s="24"/>
      <c r="AJ214" s="23"/>
      <c r="AK214" s="23"/>
      <c r="AL214" s="23"/>
    </row>
    <row r="215" spans="1:38" ht="14.25" customHeight="1" x14ac:dyDescent="0.35">
      <c r="A215" s="23"/>
      <c r="B215" s="23"/>
      <c r="C215" s="23"/>
      <c r="D215" s="23"/>
      <c r="E215" s="23"/>
      <c r="F215" s="23"/>
      <c r="G215" s="23"/>
      <c r="H215" s="24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5"/>
      <c r="Y215" s="23"/>
      <c r="Z215" s="23"/>
      <c r="AA215" s="24"/>
      <c r="AB215" s="25"/>
      <c r="AC215" s="24"/>
      <c r="AD215" s="25"/>
      <c r="AE215" s="23"/>
      <c r="AF215" s="23"/>
      <c r="AG215" s="23"/>
      <c r="AH215" s="23"/>
      <c r="AI215" s="24"/>
      <c r="AJ215" s="23"/>
      <c r="AK215" s="23"/>
      <c r="AL215" s="23"/>
    </row>
    <row r="216" spans="1:38" ht="14.25" customHeight="1" x14ac:dyDescent="0.35">
      <c r="A216" s="23"/>
      <c r="B216" s="23"/>
      <c r="C216" s="23"/>
      <c r="D216" s="23"/>
      <c r="E216" s="23"/>
      <c r="F216" s="23"/>
      <c r="G216" s="23"/>
      <c r="H216" s="24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5"/>
      <c r="Y216" s="23"/>
      <c r="Z216" s="23"/>
      <c r="AA216" s="24"/>
      <c r="AB216" s="25"/>
      <c r="AC216" s="24"/>
      <c r="AD216" s="25"/>
      <c r="AE216" s="23"/>
      <c r="AF216" s="23"/>
      <c r="AG216" s="23"/>
      <c r="AH216" s="23"/>
      <c r="AI216" s="24"/>
      <c r="AJ216" s="23"/>
      <c r="AK216" s="23"/>
      <c r="AL216" s="23"/>
    </row>
    <row r="217" spans="1:38" ht="14.25" customHeight="1" x14ac:dyDescent="0.35">
      <c r="A217" s="23"/>
      <c r="B217" s="23"/>
      <c r="C217" s="23"/>
      <c r="D217" s="23"/>
      <c r="E217" s="23"/>
      <c r="F217" s="23"/>
      <c r="G217" s="23"/>
      <c r="H217" s="24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5"/>
      <c r="Y217" s="23"/>
      <c r="Z217" s="23"/>
      <c r="AA217" s="24"/>
      <c r="AB217" s="25"/>
      <c r="AC217" s="24"/>
      <c r="AD217" s="25"/>
      <c r="AE217" s="23"/>
      <c r="AF217" s="23"/>
      <c r="AG217" s="23"/>
      <c r="AH217" s="23"/>
      <c r="AI217" s="24"/>
      <c r="AJ217" s="23"/>
      <c r="AK217" s="23"/>
      <c r="AL217" s="23"/>
    </row>
    <row r="218" spans="1:38" ht="14.25" customHeight="1" x14ac:dyDescent="0.35">
      <c r="A218" s="23"/>
      <c r="B218" s="23"/>
      <c r="C218" s="23"/>
      <c r="D218" s="23"/>
      <c r="E218" s="23"/>
      <c r="F218" s="23"/>
      <c r="G218" s="23"/>
      <c r="H218" s="24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5"/>
      <c r="Y218" s="23"/>
      <c r="Z218" s="23"/>
      <c r="AA218" s="24"/>
      <c r="AB218" s="25"/>
      <c r="AC218" s="24"/>
      <c r="AD218" s="25"/>
      <c r="AE218" s="23"/>
      <c r="AF218" s="23"/>
      <c r="AG218" s="23"/>
      <c r="AH218" s="23"/>
      <c r="AI218" s="24"/>
      <c r="AJ218" s="23"/>
      <c r="AK218" s="23"/>
      <c r="AL218" s="23"/>
    </row>
    <row r="219" spans="1:38" ht="14.25" customHeight="1" x14ac:dyDescent="0.35">
      <c r="A219" s="23"/>
      <c r="B219" s="23"/>
      <c r="C219" s="23"/>
      <c r="D219" s="23"/>
      <c r="E219" s="23"/>
      <c r="F219" s="23"/>
      <c r="G219" s="23"/>
      <c r="H219" s="24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5"/>
      <c r="Y219" s="23"/>
      <c r="Z219" s="23"/>
      <c r="AA219" s="24"/>
      <c r="AB219" s="25"/>
      <c r="AC219" s="24"/>
      <c r="AD219" s="25"/>
      <c r="AE219" s="23"/>
      <c r="AF219" s="23"/>
      <c r="AG219" s="23"/>
      <c r="AH219" s="23"/>
      <c r="AI219" s="24"/>
      <c r="AJ219" s="23"/>
      <c r="AK219" s="23"/>
      <c r="AL219" s="23"/>
    </row>
    <row r="220" spans="1:38" ht="14.25" customHeight="1" x14ac:dyDescent="0.35">
      <c r="A220" s="23"/>
      <c r="B220" s="23"/>
      <c r="C220" s="23"/>
      <c r="D220" s="23"/>
      <c r="E220" s="23"/>
      <c r="F220" s="23"/>
      <c r="G220" s="23"/>
      <c r="H220" s="24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5"/>
      <c r="Y220" s="23"/>
      <c r="Z220" s="23"/>
      <c r="AA220" s="24"/>
      <c r="AB220" s="25"/>
      <c r="AC220" s="24"/>
      <c r="AD220" s="25"/>
      <c r="AE220" s="23"/>
      <c r="AF220" s="23"/>
      <c r="AG220" s="23"/>
      <c r="AH220" s="23"/>
      <c r="AI220" s="24"/>
      <c r="AJ220" s="23"/>
      <c r="AK220" s="23"/>
      <c r="AL220" s="23"/>
    </row>
    <row r="221" spans="1:38" ht="14.25" customHeight="1" x14ac:dyDescent="0.35">
      <c r="A221" s="23"/>
      <c r="B221" s="23"/>
      <c r="C221" s="23"/>
      <c r="D221" s="23"/>
      <c r="E221" s="23"/>
      <c r="F221" s="23"/>
      <c r="G221" s="23"/>
      <c r="H221" s="24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5"/>
      <c r="Y221" s="23"/>
      <c r="Z221" s="23"/>
      <c r="AA221" s="24"/>
      <c r="AB221" s="25"/>
      <c r="AC221" s="24"/>
      <c r="AD221" s="25"/>
      <c r="AE221" s="23"/>
      <c r="AF221" s="23"/>
      <c r="AG221" s="23"/>
      <c r="AH221" s="23"/>
      <c r="AI221" s="24"/>
      <c r="AJ221" s="23"/>
      <c r="AK221" s="23"/>
      <c r="AL221" s="23"/>
    </row>
    <row r="222" spans="1:38" ht="14.25" customHeight="1" x14ac:dyDescent="0.35">
      <c r="A222" s="23"/>
      <c r="B222" s="23"/>
      <c r="C222" s="23"/>
      <c r="D222" s="23"/>
      <c r="E222" s="23"/>
      <c r="F222" s="23"/>
      <c r="G222" s="23"/>
      <c r="H222" s="24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5"/>
      <c r="Y222" s="23"/>
      <c r="Z222" s="23"/>
      <c r="AA222" s="24"/>
      <c r="AB222" s="25"/>
      <c r="AC222" s="24"/>
      <c r="AD222" s="25"/>
      <c r="AE222" s="23"/>
      <c r="AF222" s="23"/>
      <c r="AG222" s="23"/>
      <c r="AH222" s="23"/>
      <c r="AI222" s="24"/>
      <c r="AJ222" s="23"/>
      <c r="AK222" s="23"/>
      <c r="AL222" s="23"/>
    </row>
    <row r="223" spans="1:38" ht="14.25" customHeight="1" x14ac:dyDescent="0.35">
      <c r="A223" s="23"/>
      <c r="B223" s="23"/>
      <c r="C223" s="23"/>
      <c r="D223" s="23"/>
      <c r="E223" s="23"/>
      <c r="F223" s="23"/>
      <c r="G223" s="23"/>
      <c r="H223" s="24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5"/>
      <c r="Y223" s="23"/>
      <c r="Z223" s="23"/>
      <c r="AA223" s="24"/>
      <c r="AB223" s="25"/>
      <c r="AC223" s="24"/>
      <c r="AD223" s="25"/>
      <c r="AE223" s="23"/>
      <c r="AF223" s="23"/>
      <c r="AG223" s="23"/>
      <c r="AH223" s="23"/>
      <c r="AI223" s="24"/>
      <c r="AJ223" s="23"/>
      <c r="AK223" s="23"/>
      <c r="AL223" s="23"/>
    </row>
    <row r="224" spans="1:38" ht="14.25" customHeight="1" x14ac:dyDescent="0.35">
      <c r="A224" s="23"/>
      <c r="B224" s="23"/>
      <c r="C224" s="23"/>
      <c r="D224" s="23"/>
      <c r="E224" s="23"/>
      <c r="F224" s="23"/>
      <c r="G224" s="23"/>
      <c r="H224" s="24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5"/>
      <c r="Y224" s="23"/>
      <c r="Z224" s="23"/>
      <c r="AA224" s="24"/>
      <c r="AB224" s="25"/>
      <c r="AC224" s="24"/>
      <c r="AD224" s="25"/>
      <c r="AE224" s="23"/>
      <c r="AF224" s="23"/>
      <c r="AG224" s="23"/>
      <c r="AH224" s="23"/>
      <c r="AI224" s="24"/>
      <c r="AJ224" s="23"/>
      <c r="AK224" s="23"/>
      <c r="AL224" s="23"/>
    </row>
    <row r="225" spans="1:38" ht="14.25" customHeight="1" x14ac:dyDescent="0.35">
      <c r="A225" s="23"/>
      <c r="B225" s="23"/>
      <c r="C225" s="23"/>
      <c r="D225" s="23"/>
      <c r="E225" s="23"/>
      <c r="F225" s="23"/>
      <c r="G225" s="23"/>
      <c r="H225" s="24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5"/>
      <c r="Y225" s="23"/>
      <c r="Z225" s="23"/>
      <c r="AA225" s="24"/>
      <c r="AB225" s="25"/>
      <c r="AC225" s="24"/>
      <c r="AD225" s="25"/>
      <c r="AE225" s="23"/>
      <c r="AF225" s="23"/>
      <c r="AG225" s="23"/>
      <c r="AH225" s="23"/>
      <c r="AI225" s="24"/>
      <c r="AJ225" s="23"/>
      <c r="AK225" s="23"/>
      <c r="AL225" s="23"/>
    </row>
    <row r="226" spans="1:38" ht="14.25" customHeight="1" x14ac:dyDescent="0.35">
      <c r="A226" s="23"/>
      <c r="B226" s="23"/>
      <c r="C226" s="23"/>
      <c r="D226" s="23"/>
      <c r="E226" s="23"/>
      <c r="F226" s="23"/>
      <c r="G226" s="23"/>
      <c r="H226" s="24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5"/>
      <c r="Y226" s="23"/>
      <c r="Z226" s="23"/>
      <c r="AA226" s="24"/>
      <c r="AB226" s="25"/>
      <c r="AC226" s="24"/>
      <c r="AD226" s="25"/>
      <c r="AE226" s="23"/>
      <c r="AF226" s="23"/>
      <c r="AG226" s="23"/>
      <c r="AH226" s="23"/>
      <c r="AI226" s="24"/>
      <c r="AJ226" s="23"/>
      <c r="AK226" s="23"/>
      <c r="AL226" s="23"/>
    </row>
    <row r="227" spans="1:38" ht="14.25" customHeight="1" x14ac:dyDescent="0.35">
      <c r="A227" s="23"/>
      <c r="B227" s="23"/>
      <c r="C227" s="23"/>
      <c r="D227" s="23"/>
      <c r="E227" s="23"/>
      <c r="F227" s="23"/>
      <c r="G227" s="23"/>
      <c r="H227" s="24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5"/>
      <c r="Y227" s="23"/>
      <c r="Z227" s="23"/>
      <c r="AA227" s="24"/>
      <c r="AB227" s="25"/>
      <c r="AC227" s="24"/>
      <c r="AD227" s="25"/>
      <c r="AE227" s="23"/>
      <c r="AF227" s="23"/>
      <c r="AG227" s="23"/>
      <c r="AH227" s="23"/>
      <c r="AI227" s="24"/>
      <c r="AJ227" s="23"/>
      <c r="AK227" s="23"/>
      <c r="AL227" s="23"/>
    </row>
    <row r="228" spans="1:38" ht="14.25" customHeight="1" x14ac:dyDescent="0.35">
      <c r="A228" s="23"/>
      <c r="B228" s="23"/>
      <c r="C228" s="23"/>
      <c r="D228" s="23"/>
      <c r="E228" s="23"/>
      <c r="F228" s="23"/>
      <c r="G228" s="23"/>
      <c r="H228" s="24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5"/>
      <c r="Y228" s="23"/>
      <c r="Z228" s="23"/>
      <c r="AA228" s="24"/>
      <c r="AB228" s="25"/>
      <c r="AC228" s="24"/>
      <c r="AD228" s="25"/>
      <c r="AE228" s="23"/>
      <c r="AF228" s="23"/>
      <c r="AG228" s="23"/>
      <c r="AH228" s="23"/>
      <c r="AI228" s="24"/>
      <c r="AJ228" s="23"/>
      <c r="AK228" s="23"/>
      <c r="AL228" s="23"/>
    </row>
    <row r="229" spans="1:38" ht="14.25" customHeight="1" x14ac:dyDescent="0.35">
      <c r="A229" s="23"/>
      <c r="B229" s="23"/>
      <c r="C229" s="23"/>
      <c r="D229" s="23"/>
      <c r="E229" s="23"/>
      <c r="F229" s="23"/>
      <c r="G229" s="23"/>
      <c r="H229" s="24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5"/>
      <c r="Y229" s="23"/>
      <c r="Z229" s="23"/>
      <c r="AA229" s="24"/>
      <c r="AB229" s="25"/>
      <c r="AC229" s="24"/>
      <c r="AD229" s="25"/>
      <c r="AE229" s="23"/>
      <c r="AF229" s="23"/>
      <c r="AG229" s="23"/>
      <c r="AH229" s="23"/>
      <c r="AI229" s="24"/>
      <c r="AJ229" s="23"/>
      <c r="AK229" s="23"/>
      <c r="AL229" s="23"/>
    </row>
    <row r="230" spans="1:38" ht="14.25" customHeight="1" x14ac:dyDescent="0.35">
      <c r="A230" s="23"/>
      <c r="B230" s="23"/>
      <c r="C230" s="23"/>
      <c r="D230" s="23"/>
      <c r="E230" s="23"/>
      <c r="F230" s="23"/>
      <c r="G230" s="23"/>
      <c r="H230" s="24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5"/>
      <c r="Y230" s="23"/>
      <c r="Z230" s="23"/>
      <c r="AA230" s="24"/>
      <c r="AB230" s="25"/>
      <c r="AC230" s="24"/>
      <c r="AD230" s="25"/>
      <c r="AE230" s="23"/>
      <c r="AF230" s="23"/>
      <c r="AG230" s="23"/>
      <c r="AH230" s="23"/>
      <c r="AI230" s="24"/>
      <c r="AJ230" s="23"/>
      <c r="AK230" s="23"/>
      <c r="AL230" s="23"/>
    </row>
    <row r="231" spans="1:38" ht="14.25" customHeight="1" x14ac:dyDescent="0.35">
      <c r="A231" s="23"/>
      <c r="B231" s="23"/>
      <c r="C231" s="23"/>
      <c r="D231" s="23"/>
      <c r="E231" s="23"/>
      <c r="F231" s="23"/>
      <c r="G231" s="23"/>
      <c r="H231" s="24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5"/>
      <c r="Y231" s="23"/>
      <c r="Z231" s="23"/>
      <c r="AA231" s="24"/>
      <c r="AB231" s="25"/>
      <c r="AC231" s="24"/>
      <c r="AD231" s="25"/>
      <c r="AE231" s="23"/>
      <c r="AF231" s="23"/>
      <c r="AG231" s="23"/>
      <c r="AH231" s="23"/>
      <c r="AI231" s="24"/>
      <c r="AJ231" s="23"/>
      <c r="AK231" s="23"/>
      <c r="AL231" s="23"/>
    </row>
    <row r="232" spans="1:38" ht="14.25" customHeight="1" x14ac:dyDescent="0.35">
      <c r="A232" s="23"/>
      <c r="B232" s="23"/>
      <c r="C232" s="23"/>
      <c r="D232" s="23"/>
      <c r="E232" s="23"/>
      <c r="F232" s="23"/>
      <c r="G232" s="23"/>
      <c r="H232" s="24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5"/>
      <c r="Y232" s="23"/>
      <c r="Z232" s="23"/>
      <c r="AA232" s="24"/>
      <c r="AB232" s="25"/>
      <c r="AC232" s="24"/>
      <c r="AD232" s="25"/>
      <c r="AE232" s="23"/>
      <c r="AF232" s="23"/>
      <c r="AG232" s="23"/>
      <c r="AH232" s="23"/>
      <c r="AI232" s="24"/>
      <c r="AJ232" s="23"/>
      <c r="AK232" s="23"/>
      <c r="AL232" s="23"/>
    </row>
    <row r="233" spans="1:38" ht="14.25" customHeight="1" x14ac:dyDescent="0.35">
      <c r="A233" s="23"/>
      <c r="B233" s="23"/>
      <c r="C233" s="23"/>
      <c r="D233" s="23"/>
      <c r="E233" s="23"/>
      <c r="F233" s="23"/>
      <c r="G233" s="23"/>
      <c r="H233" s="24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5"/>
      <c r="Y233" s="23"/>
      <c r="Z233" s="23"/>
      <c r="AA233" s="24"/>
      <c r="AB233" s="25"/>
      <c r="AC233" s="24"/>
      <c r="AD233" s="25"/>
      <c r="AE233" s="23"/>
      <c r="AF233" s="23"/>
      <c r="AG233" s="23"/>
      <c r="AH233" s="23"/>
      <c r="AI233" s="24"/>
      <c r="AJ233" s="23"/>
      <c r="AK233" s="23"/>
      <c r="AL233" s="23"/>
    </row>
    <row r="234" spans="1:38" ht="14.25" customHeight="1" x14ac:dyDescent="0.35">
      <c r="A234" s="23"/>
      <c r="B234" s="23"/>
      <c r="C234" s="23"/>
      <c r="D234" s="23"/>
      <c r="E234" s="23"/>
      <c r="F234" s="23"/>
      <c r="G234" s="23"/>
      <c r="H234" s="24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5"/>
      <c r="Y234" s="23"/>
      <c r="Z234" s="23"/>
      <c r="AA234" s="24"/>
      <c r="AB234" s="25"/>
      <c r="AC234" s="24"/>
      <c r="AD234" s="25"/>
      <c r="AE234" s="23"/>
      <c r="AF234" s="23"/>
      <c r="AG234" s="23"/>
      <c r="AH234" s="23"/>
      <c r="AI234" s="24"/>
      <c r="AJ234" s="23"/>
      <c r="AK234" s="23"/>
      <c r="AL234" s="23"/>
    </row>
    <row r="235" spans="1:38" ht="14.25" customHeight="1" x14ac:dyDescent="0.35">
      <c r="A235" s="23"/>
      <c r="B235" s="23"/>
      <c r="C235" s="23"/>
      <c r="D235" s="23"/>
      <c r="E235" s="23"/>
      <c r="F235" s="23"/>
      <c r="G235" s="23"/>
      <c r="H235" s="24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5"/>
      <c r="Y235" s="23"/>
      <c r="Z235" s="23"/>
      <c r="AA235" s="24"/>
      <c r="AB235" s="25"/>
      <c r="AC235" s="24"/>
      <c r="AD235" s="25"/>
      <c r="AE235" s="23"/>
      <c r="AF235" s="23"/>
      <c r="AG235" s="23"/>
      <c r="AH235" s="23"/>
      <c r="AI235" s="24"/>
      <c r="AJ235" s="23"/>
      <c r="AK235" s="23"/>
      <c r="AL235" s="23"/>
    </row>
    <row r="236" spans="1:38" ht="14.25" customHeight="1" x14ac:dyDescent="0.35">
      <c r="A236" s="23"/>
      <c r="B236" s="23"/>
      <c r="C236" s="23"/>
      <c r="D236" s="23"/>
      <c r="E236" s="23"/>
      <c r="F236" s="23"/>
      <c r="G236" s="23"/>
      <c r="H236" s="24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5"/>
      <c r="Y236" s="23"/>
      <c r="Z236" s="23"/>
      <c r="AA236" s="24"/>
      <c r="AB236" s="25"/>
      <c r="AC236" s="24"/>
      <c r="AD236" s="25"/>
      <c r="AE236" s="23"/>
      <c r="AF236" s="23"/>
      <c r="AG236" s="23"/>
      <c r="AH236" s="23"/>
      <c r="AI236" s="24"/>
      <c r="AJ236" s="23"/>
      <c r="AK236" s="23"/>
      <c r="AL236" s="23"/>
    </row>
    <row r="237" spans="1:38" ht="14.25" customHeight="1" x14ac:dyDescent="0.35">
      <c r="A237" s="23"/>
      <c r="B237" s="23"/>
      <c r="C237" s="23"/>
      <c r="D237" s="23"/>
      <c r="E237" s="23"/>
      <c r="F237" s="23"/>
      <c r="G237" s="23"/>
      <c r="H237" s="24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5"/>
      <c r="Y237" s="23"/>
      <c r="Z237" s="23"/>
      <c r="AA237" s="24"/>
      <c r="AB237" s="25"/>
      <c r="AC237" s="24"/>
      <c r="AD237" s="25"/>
      <c r="AE237" s="23"/>
      <c r="AF237" s="23"/>
      <c r="AG237" s="23"/>
      <c r="AH237" s="23"/>
      <c r="AI237" s="24"/>
      <c r="AJ237" s="23"/>
      <c r="AK237" s="23"/>
      <c r="AL237" s="23"/>
    </row>
    <row r="238" spans="1:38" ht="14.25" customHeight="1" x14ac:dyDescent="0.35">
      <c r="A238" s="23"/>
      <c r="B238" s="23"/>
      <c r="C238" s="23"/>
      <c r="D238" s="23"/>
      <c r="E238" s="23"/>
      <c r="F238" s="23"/>
      <c r="G238" s="23"/>
      <c r="H238" s="24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5"/>
      <c r="Y238" s="23"/>
      <c r="Z238" s="23"/>
      <c r="AA238" s="24"/>
      <c r="AB238" s="25"/>
      <c r="AC238" s="24"/>
      <c r="AD238" s="25"/>
      <c r="AE238" s="23"/>
      <c r="AF238" s="23"/>
      <c r="AG238" s="23"/>
      <c r="AH238" s="23"/>
      <c r="AI238" s="24"/>
      <c r="AJ238" s="23"/>
      <c r="AK238" s="23"/>
      <c r="AL238" s="23"/>
    </row>
    <row r="239" spans="1:38" ht="14.25" customHeight="1" x14ac:dyDescent="0.35">
      <c r="A239" s="23"/>
      <c r="B239" s="23"/>
      <c r="C239" s="23"/>
      <c r="D239" s="23"/>
      <c r="E239" s="23"/>
      <c r="F239" s="23"/>
      <c r="G239" s="23"/>
      <c r="H239" s="24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5"/>
      <c r="Y239" s="23"/>
      <c r="Z239" s="23"/>
      <c r="AA239" s="24"/>
      <c r="AB239" s="25"/>
      <c r="AC239" s="24"/>
      <c r="AD239" s="25"/>
      <c r="AE239" s="23"/>
      <c r="AF239" s="23"/>
      <c r="AG239" s="23"/>
      <c r="AH239" s="23"/>
      <c r="AI239" s="24"/>
      <c r="AJ239" s="23"/>
      <c r="AK239" s="23"/>
      <c r="AL239" s="23"/>
    </row>
    <row r="240" spans="1:38" ht="14.25" customHeight="1" x14ac:dyDescent="0.35">
      <c r="A240" s="23"/>
      <c r="B240" s="23"/>
      <c r="C240" s="23"/>
      <c r="D240" s="23"/>
      <c r="E240" s="23"/>
      <c r="F240" s="23"/>
      <c r="G240" s="23"/>
      <c r="H240" s="24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5"/>
      <c r="Y240" s="23"/>
      <c r="Z240" s="23"/>
      <c r="AA240" s="24"/>
      <c r="AB240" s="25"/>
      <c r="AC240" s="24"/>
      <c r="AD240" s="25"/>
      <c r="AE240" s="23"/>
      <c r="AF240" s="23"/>
      <c r="AG240" s="23"/>
      <c r="AH240" s="23"/>
      <c r="AI240" s="24"/>
      <c r="AJ240" s="23"/>
      <c r="AK240" s="23"/>
      <c r="AL240" s="23"/>
    </row>
    <row r="241" spans="1:38" ht="14.25" customHeight="1" x14ac:dyDescent="0.35">
      <c r="A241" s="23"/>
      <c r="B241" s="23"/>
      <c r="C241" s="23"/>
      <c r="D241" s="23"/>
      <c r="E241" s="23"/>
      <c r="F241" s="23"/>
      <c r="G241" s="23"/>
      <c r="H241" s="24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5"/>
      <c r="Y241" s="23"/>
      <c r="Z241" s="23"/>
      <c r="AA241" s="24"/>
      <c r="AB241" s="25"/>
      <c r="AC241" s="24"/>
      <c r="AD241" s="25"/>
      <c r="AE241" s="23"/>
      <c r="AF241" s="23"/>
      <c r="AG241" s="23"/>
      <c r="AH241" s="23"/>
      <c r="AI241" s="24"/>
      <c r="AJ241" s="23"/>
      <c r="AK241" s="23"/>
      <c r="AL241" s="23"/>
    </row>
    <row r="242" spans="1:38" ht="14.25" customHeight="1" x14ac:dyDescent="0.35">
      <c r="A242" s="23"/>
      <c r="B242" s="23"/>
      <c r="C242" s="23"/>
      <c r="D242" s="23"/>
      <c r="E242" s="23"/>
      <c r="F242" s="23"/>
      <c r="G242" s="23"/>
      <c r="H242" s="24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5"/>
      <c r="Y242" s="23"/>
      <c r="Z242" s="23"/>
      <c r="AA242" s="24"/>
      <c r="AB242" s="25"/>
      <c r="AC242" s="24"/>
      <c r="AD242" s="25"/>
      <c r="AE242" s="23"/>
      <c r="AF242" s="23"/>
      <c r="AG242" s="23"/>
      <c r="AH242" s="23"/>
      <c r="AI242" s="24"/>
      <c r="AJ242" s="23"/>
      <c r="AK242" s="23"/>
      <c r="AL242" s="23"/>
    </row>
    <row r="243" spans="1:38" ht="14.25" customHeight="1" x14ac:dyDescent="0.35">
      <c r="A243" s="23"/>
      <c r="B243" s="23"/>
      <c r="C243" s="23"/>
      <c r="D243" s="23"/>
      <c r="E243" s="23"/>
      <c r="F243" s="23"/>
      <c r="G243" s="23"/>
      <c r="H243" s="24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5"/>
      <c r="Y243" s="23"/>
      <c r="Z243" s="23"/>
      <c r="AA243" s="24"/>
      <c r="AB243" s="25"/>
      <c r="AC243" s="24"/>
      <c r="AD243" s="25"/>
      <c r="AE243" s="23"/>
      <c r="AF243" s="23"/>
      <c r="AG243" s="23"/>
      <c r="AH243" s="23"/>
      <c r="AI243" s="24"/>
      <c r="AJ243" s="23"/>
      <c r="AK243" s="23"/>
      <c r="AL243" s="23"/>
    </row>
    <row r="244" spans="1:38" ht="14.25" customHeight="1" x14ac:dyDescent="0.35">
      <c r="A244" s="23"/>
      <c r="B244" s="23"/>
      <c r="C244" s="23"/>
      <c r="D244" s="23"/>
      <c r="E244" s="23"/>
      <c r="F244" s="23"/>
      <c r="G244" s="23"/>
      <c r="H244" s="24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5"/>
      <c r="Y244" s="23"/>
      <c r="Z244" s="23"/>
      <c r="AA244" s="24"/>
      <c r="AB244" s="25"/>
      <c r="AC244" s="24"/>
      <c r="AD244" s="25"/>
      <c r="AE244" s="23"/>
      <c r="AF244" s="23"/>
      <c r="AG244" s="23"/>
      <c r="AH244" s="23"/>
      <c r="AI244" s="24"/>
      <c r="AJ244" s="23"/>
      <c r="AK244" s="23"/>
      <c r="AL244" s="23"/>
    </row>
    <row r="245" spans="1:38" ht="14.25" customHeight="1" x14ac:dyDescent="0.35">
      <c r="A245" s="23"/>
      <c r="B245" s="23"/>
      <c r="C245" s="23"/>
      <c r="D245" s="23"/>
      <c r="E245" s="23"/>
      <c r="F245" s="23"/>
      <c r="G245" s="23"/>
      <c r="H245" s="24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5"/>
      <c r="Y245" s="23"/>
      <c r="Z245" s="23"/>
      <c r="AA245" s="24"/>
      <c r="AB245" s="25"/>
      <c r="AC245" s="24"/>
      <c r="AD245" s="25"/>
      <c r="AE245" s="23"/>
      <c r="AF245" s="23"/>
      <c r="AG245" s="23"/>
      <c r="AH245" s="23"/>
      <c r="AI245" s="24"/>
      <c r="AJ245" s="23"/>
      <c r="AK245" s="23"/>
      <c r="AL245" s="23"/>
    </row>
    <row r="246" spans="1:38" ht="14.25" customHeight="1" x14ac:dyDescent="0.35">
      <c r="A246" s="23"/>
      <c r="B246" s="23"/>
      <c r="C246" s="23"/>
      <c r="D246" s="23"/>
      <c r="E246" s="23"/>
      <c r="F246" s="23"/>
      <c r="G246" s="23"/>
      <c r="H246" s="24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5"/>
      <c r="Y246" s="23"/>
      <c r="Z246" s="23"/>
      <c r="AA246" s="24"/>
      <c r="AB246" s="25"/>
      <c r="AC246" s="24"/>
      <c r="AD246" s="25"/>
      <c r="AE246" s="23"/>
      <c r="AF246" s="23"/>
      <c r="AG246" s="23"/>
      <c r="AH246" s="23"/>
      <c r="AI246" s="24"/>
      <c r="AJ246" s="23"/>
      <c r="AK246" s="23"/>
      <c r="AL246" s="23"/>
    </row>
    <row r="247" spans="1:38" ht="14.25" customHeight="1" x14ac:dyDescent="0.35">
      <c r="A247" s="23"/>
      <c r="B247" s="23"/>
      <c r="C247" s="23"/>
      <c r="D247" s="23"/>
      <c r="E247" s="23"/>
      <c r="F247" s="23"/>
      <c r="G247" s="23"/>
      <c r="H247" s="24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5"/>
      <c r="Y247" s="23"/>
      <c r="Z247" s="23"/>
      <c r="AA247" s="24"/>
      <c r="AB247" s="25"/>
      <c r="AC247" s="24"/>
      <c r="AD247" s="25"/>
      <c r="AE247" s="23"/>
      <c r="AF247" s="23"/>
      <c r="AG247" s="23"/>
      <c r="AH247" s="23"/>
      <c r="AI247" s="24"/>
      <c r="AJ247" s="23"/>
      <c r="AK247" s="23"/>
      <c r="AL247" s="23"/>
    </row>
    <row r="248" spans="1:38" ht="14.25" customHeight="1" x14ac:dyDescent="0.35">
      <c r="A248" s="23"/>
      <c r="B248" s="23"/>
      <c r="C248" s="23"/>
      <c r="D248" s="23"/>
      <c r="E248" s="23"/>
      <c r="F248" s="23"/>
      <c r="G248" s="23"/>
      <c r="H248" s="24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5"/>
      <c r="Y248" s="23"/>
      <c r="Z248" s="23"/>
      <c r="AA248" s="24"/>
      <c r="AB248" s="25"/>
      <c r="AC248" s="24"/>
      <c r="AD248" s="25"/>
      <c r="AE248" s="23"/>
      <c r="AF248" s="23"/>
      <c r="AG248" s="23"/>
      <c r="AH248" s="23"/>
      <c r="AI248" s="24"/>
      <c r="AJ248" s="23"/>
      <c r="AK248" s="23"/>
      <c r="AL248" s="23"/>
    </row>
    <row r="249" spans="1:38" ht="14.25" customHeight="1" x14ac:dyDescent="0.35">
      <c r="A249" s="23"/>
      <c r="B249" s="23"/>
      <c r="C249" s="23"/>
      <c r="D249" s="23"/>
      <c r="E249" s="23"/>
      <c r="F249" s="23"/>
      <c r="G249" s="23"/>
      <c r="H249" s="24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5"/>
      <c r="Y249" s="23"/>
      <c r="Z249" s="23"/>
      <c r="AA249" s="24"/>
      <c r="AB249" s="25"/>
      <c r="AC249" s="24"/>
      <c r="AD249" s="25"/>
      <c r="AE249" s="23"/>
      <c r="AF249" s="23"/>
      <c r="AG249" s="23"/>
      <c r="AH249" s="23"/>
      <c r="AI249" s="24"/>
      <c r="AJ249" s="23"/>
      <c r="AK249" s="23"/>
      <c r="AL249" s="23"/>
    </row>
    <row r="250" spans="1:38" ht="14.25" customHeight="1" x14ac:dyDescent="0.35">
      <c r="A250" s="23"/>
      <c r="B250" s="23"/>
      <c r="C250" s="23"/>
      <c r="D250" s="23"/>
      <c r="E250" s="23"/>
      <c r="F250" s="23"/>
      <c r="G250" s="23"/>
      <c r="H250" s="24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5"/>
      <c r="Y250" s="23"/>
      <c r="Z250" s="23"/>
      <c r="AA250" s="24"/>
      <c r="AB250" s="25"/>
      <c r="AC250" s="24"/>
      <c r="AD250" s="25"/>
      <c r="AE250" s="23"/>
      <c r="AF250" s="23"/>
      <c r="AG250" s="23"/>
      <c r="AH250" s="23"/>
      <c r="AI250" s="24"/>
      <c r="AJ250" s="23"/>
      <c r="AK250" s="23"/>
      <c r="AL250" s="23"/>
    </row>
    <row r="251" spans="1:38" ht="14.25" customHeight="1" x14ac:dyDescent="0.35">
      <c r="A251" s="23"/>
      <c r="B251" s="23"/>
      <c r="C251" s="23"/>
      <c r="D251" s="23"/>
      <c r="E251" s="23"/>
      <c r="F251" s="23"/>
      <c r="G251" s="23"/>
      <c r="H251" s="24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5"/>
      <c r="Y251" s="23"/>
      <c r="Z251" s="23"/>
      <c r="AA251" s="24"/>
      <c r="AB251" s="25"/>
      <c r="AC251" s="24"/>
      <c r="AD251" s="25"/>
      <c r="AE251" s="23"/>
      <c r="AF251" s="23"/>
      <c r="AG251" s="23"/>
      <c r="AH251" s="23"/>
      <c r="AI251" s="24"/>
      <c r="AJ251" s="23"/>
      <c r="AK251" s="23"/>
      <c r="AL251" s="23"/>
    </row>
    <row r="252" spans="1:38" ht="14.25" customHeight="1" x14ac:dyDescent="0.35">
      <c r="A252" s="23"/>
      <c r="B252" s="23"/>
      <c r="C252" s="23"/>
      <c r="D252" s="23"/>
      <c r="E252" s="23"/>
      <c r="F252" s="23"/>
      <c r="G252" s="23"/>
      <c r="H252" s="24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5"/>
      <c r="Y252" s="23"/>
      <c r="Z252" s="23"/>
      <c r="AA252" s="24"/>
      <c r="AB252" s="25"/>
      <c r="AC252" s="24"/>
      <c r="AD252" s="25"/>
      <c r="AE252" s="23"/>
      <c r="AF252" s="23"/>
      <c r="AG252" s="23"/>
      <c r="AH252" s="23"/>
      <c r="AI252" s="24"/>
      <c r="AJ252" s="23"/>
      <c r="AK252" s="23"/>
      <c r="AL252" s="23"/>
    </row>
    <row r="253" spans="1:38" ht="14.25" customHeight="1" x14ac:dyDescent="0.35">
      <c r="A253" s="23"/>
      <c r="B253" s="23"/>
      <c r="C253" s="23"/>
      <c r="D253" s="23"/>
      <c r="E253" s="23"/>
      <c r="F253" s="23"/>
      <c r="G253" s="23"/>
      <c r="H253" s="24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5"/>
      <c r="Y253" s="23"/>
      <c r="Z253" s="23"/>
      <c r="AA253" s="24"/>
      <c r="AB253" s="25"/>
      <c r="AC253" s="24"/>
      <c r="AD253" s="25"/>
      <c r="AE253" s="23"/>
      <c r="AF253" s="23"/>
      <c r="AG253" s="23"/>
      <c r="AH253" s="23"/>
      <c r="AI253" s="24"/>
      <c r="AJ253" s="23"/>
      <c r="AK253" s="23"/>
      <c r="AL253" s="23"/>
    </row>
    <row r="254" spans="1:38" ht="14.25" customHeight="1" x14ac:dyDescent="0.35">
      <c r="A254" s="23"/>
      <c r="B254" s="23"/>
      <c r="C254" s="23"/>
      <c r="D254" s="23"/>
      <c r="E254" s="23"/>
      <c r="F254" s="23"/>
      <c r="G254" s="23"/>
      <c r="H254" s="24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5"/>
      <c r="Y254" s="23"/>
      <c r="Z254" s="23"/>
      <c r="AA254" s="24"/>
      <c r="AB254" s="25"/>
      <c r="AC254" s="24"/>
      <c r="AD254" s="25"/>
      <c r="AE254" s="23"/>
      <c r="AF254" s="23"/>
      <c r="AG254" s="23"/>
      <c r="AH254" s="23"/>
      <c r="AI254" s="24"/>
      <c r="AJ254" s="23"/>
      <c r="AK254" s="23"/>
      <c r="AL254" s="23"/>
    </row>
    <row r="255" spans="1:38" ht="14.25" customHeight="1" x14ac:dyDescent="0.35">
      <c r="A255" s="23"/>
      <c r="B255" s="23"/>
      <c r="C255" s="23"/>
      <c r="D255" s="23"/>
      <c r="E255" s="23"/>
      <c r="F255" s="23"/>
      <c r="G255" s="23"/>
      <c r="H255" s="24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5"/>
      <c r="Y255" s="23"/>
      <c r="Z255" s="23"/>
      <c r="AA255" s="24"/>
      <c r="AB255" s="25"/>
      <c r="AC255" s="24"/>
      <c r="AD255" s="25"/>
      <c r="AE255" s="23"/>
      <c r="AF255" s="23"/>
      <c r="AG255" s="23"/>
      <c r="AH255" s="23"/>
      <c r="AI255" s="24"/>
      <c r="AJ255" s="23"/>
      <c r="AK255" s="23"/>
      <c r="AL255" s="23"/>
    </row>
    <row r="256" spans="1:38" ht="14.25" customHeight="1" x14ac:dyDescent="0.35">
      <c r="A256" s="23"/>
      <c r="B256" s="23"/>
      <c r="C256" s="23"/>
      <c r="D256" s="23"/>
      <c r="E256" s="23"/>
      <c r="F256" s="23"/>
      <c r="G256" s="23"/>
      <c r="H256" s="24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5"/>
      <c r="Y256" s="23"/>
      <c r="Z256" s="23"/>
      <c r="AA256" s="24"/>
      <c r="AB256" s="25"/>
      <c r="AC256" s="24"/>
      <c r="AD256" s="25"/>
      <c r="AE256" s="23"/>
      <c r="AF256" s="23"/>
      <c r="AG256" s="23"/>
      <c r="AH256" s="23"/>
      <c r="AI256" s="24"/>
      <c r="AJ256" s="23"/>
      <c r="AK256" s="23"/>
      <c r="AL256" s="23"/>
    </row>
    <row r="257" spans="1:38" ht="14.25" customHeight="1" x14ac:dyDescent="0.35">
      <c r="A257" s="23"/>
      <c r="B257" s="23"/>
      <c r="C257" s="23"/>
      <c r="D257" s="23"/>
      <c r="E257" s="23"/>
      <c r="F257" s="23"/>
      <c r="G257" s="23"/>
      <c r="H257" s="24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5"/>
      <c r="Y257" s="23"/>
      <c r="Z257" s="23"/>
      <c r="AA257" s="24"/>
      <c r="AB257" s="25"/>
      <c r="AC257" s="24"/>
      <c r="AD257" s="25"/>
      <c r="AE257" s="23"/>
      <c r="AF257" s="23"/>
      <c r="AG257" s="23"/>
      <c r="AH257" s="23"/>
      <c r="AI257" s="24"/>
      <c r="AJ257" s="23"/>
      <c r="AK257" s="23"/>
      <c r="AL257" s="23"/>
    </row>
    <row r="258" spans="1:38" ht="14.25" customHeight="1" x14ac:dyDescent="0.35">
      <c r="A258" s="23"/>
      <c r="B258" s="23"/>
      <c r="C258" s="23"/>
      <c r="D258" s="23"/>
      <c r="E258" s="23"/>
      <c r="F258" s="23"/>
      <c r="G258" s="23"/>
      <c r="H258" s="24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5"/>
      <c r="Y258" s="23"/>
      <c r="Z258" s="23"/>
      <c r="AA258" s="24"/>
      <c r="AB258" s="25"/>
      <c r="AC258" s="24"/>
      <c r="AD258" s="25"/>
      <c r="AE258" s="23"/>
      <c r="AF258" s="23"/>
      <c r="AG258" s="23"/>
      <c r="AH258" s="23"/>
      <c r="AI258" s="24"/>
      <c r="AJ258" s="23"/>
      <c r="AK258" s="23"/>
      <c r="AL258" s="23"/>
    </row>
    <row r="259" spans="1:38" ht="14.25" customHeight="1" x14ac:dyDescent="0.35">
      <c r="A259" s="23"/>
      <c r="B259" s="23"/>
      <c r="C259" s="23"/>
      <c r="D259" s="23"/>
      <c r="E259" s="23"/>
      <c r="F259" s="23"/>
      <c r="G259" s="23"/>
      <c r="H259" s="24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5"/>
      <c r="Y259" s="23"/>
      <c r="Z259" s="23"/>
      <c r="AA259" s="24"/>
      <c r="AB259" s="25"/>
      <c r="AC259" s="24"/>
      <c r="AD259" s="25"/>
      <c r="AE259" s="23"/>
      <c r="AF259" s="23"/>
      <c r="AG259" s="23"/>
      <c r="AH259" s="23"/>
      <c r="AI259" s="24"/>
      <c r="AJ259" s="23"/>
      <c r="AK259" s="23"/>
      <c r="AL259" s="23"/>
    </row>
    <row r="260" spans="1:38" ht="14.25" customHeight="1" x14ac:dyDescent="0.35">
      <c r="A260" s="23"/>
      <c r="B260" s="23"/>
      <c r="C260" s="23"/>
      <c r="D260" s="23"/>
      <c r="E260" s="23"/>
      <c r="F260" s="23"/>
      <c r="G260" s="23"/>
      <c r="H260" s="24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5"/>
      <c r="Y260" s="23"/>
      <c r="Z260" s="23"/>
      <c r="AA260" s="24"/>
      <c r="AB260" s="25"/>
      <c r="AC260" s="24"/>
      <c r="AD260" s="25"/>
      <c r="AE260" s="23"/>
      <c r="AF260" s="23"/>
      <c r="AG260" s="23"/>
      <c r="AH260" s="23"/>
      <c r="AI260" s="24"/>
      <c r="AJ260" s="23"/>
      <c r="AK260" s="23"/>
      <c r="AL260" s="23"/>
    </row>
    <row r="261" spans="1:38" ht="14.25" customHeight="1" x14ac:dyDescent="0.35">
      <c r="A261" s="23"/>
      <c r="B261" s="23"/>
      <c r="C261" s="23"/>
      <c r="D261" s="23"/>
      <c r="E261" s="23"/>
      <c r="F261" s="23"/>
      <c r="G261" s="23"/>
      <c r="H261" s="24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5"/>
      <c r="Y261" s="23"/>
      <c r="Z261" s="23"/>
      <c r="AA261" s="24"/>
      <c r="AB261" s="25"/>
      <c r="AC261" s="24"/>
      <c r="AD261" s="25"/>
      <c r="AE261" s="23"/>
      <c r="AF261" s="23"/>
      <c r="AG261" s="23"/>
      <c r="AH261" s="23"/>
      <c r="AI261" s="24"/>
      <c r="AJ261" s="23"/>
      <c r="AK261" s="23"/>
      <c r="AL261" s="23"/>
    </row>
    <row r="262" spans="1:38" ht="14.25" customHeight="1" x14ac:dyDescent="0.35">
      <c r="A262" s="23"/>
      <c r="B262" s="23"/>
      <c r="C262" s="23"/>
      <c r="D262" s="23"/>
      <c r="E262" s="23"/>
      <c r="F262" s="23"/>
      <c r="G262" s="23"/>
      <c r="H262" s="24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5"/>
      <c r="Y262" s="23"/>
      <c r="Z262" s="23"/>
      <c r="AA262" s="24"/>
      <c r="AB262" s="25"/>
      <c r="AC262" s="24"/>
      <c r="AD262" s="25"/>
      <c r="AE262" s="23"/>
      <c r="AF262" s="23"/>
      <c r="AG262" s="23"/>
      <c r="AH262" s="23"/>
      <c r="AI262" s="24"/>
      <c r="AJ262" s="23"/>
      <c r="AK262" s="23"/>
      <c r="AL262" s="23"/>
    </row>
    <row r="263" spans="1:38" ht="14.25" customHeight="1" x14ac:dyDescent="0.35">
      <c r="A263" s="23"/>
      <c r="B263" s="23"/>
      <c r="C263" s="23"/>
      <c r="D263" s="23"/>
      <c r="E263" s="23"/>
      <c r="F263" s="23"/>
      <c r="G263" s="23"/>
      <c r="H263" s="24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5"/>
      <c r="Y263" s="23"/>
      <c r="Z263" s="23"/>
      <c r="AA263" s="24"/>
      <c r="AB263" s="25"/>
      <c r="AC263" s="24"/>
      <c r="AD263" s="25"/>
      <c r="AE263" s="23"/>
      <c r="AF263" s="23"/>
      <c r="AG263" s="23"/>
      <c r="AH263" s="23"/>
      <c r="AI263" s="24"/>
      <c r="AJ263" s="23"/>
      <c r="AK263" s="23"/>
      <c r="AL263" s="23"/>
    </row>
    <row r="264" spans="1:38" ht="14.25" customHeight="1" x14ac:dyDescent="0.35">
      <c r="A264" s="23"/>
      <c r="B264" s="23"/>
      <c r="C264" s="23"/>
      <c r="D264" s="23"/>
      <c r="E264" s="23"/>
      <c r="F264" s="23"/>
      <c r="G264" s="23"/>
      <c r="H264" s="24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5"/>
      <c r="Y264" s="23"/>
      <c r="Z264" s="23"/>
      <c r="AA264" s="24"/>
      <c r="AB264" s="25"/>
      <c r="AC264" s="24"/>
      <c r="AD264" s="25"/>
      <c r="AE264" s="23"/>
      <c r="AF264" s="23"/>
      <c r="AG264" s="23"/>
      <c r="AH264" s="23"/>
      <c r="AI264" s="24"/>
      <c r="AJ264" s="23"/>
      <c r="AK264" s="23"/>
      <c r="AL264" s="23"/>
    </row>
    <row r="265" spans="1:38" ht="14.25" customHeight="1" x14ac:dyDescent="0.35">
      <c r="A265" s="23"/>
      <c r="B265" s="23"/>
      <c r="C265" s="23"/>
      <c r="D265" s="23"/>
      <c r="E265" s="23"/>
      <c r="F265" s="23"/>
      <c r="G265" s="23"/>
      <c r="H265" s="24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5"/>
      <c r="Y265" s="23"/>
      <c r="Z265" s="23"/>
      <c r="AA265" s="24"/>
      <c r="AB265" s="25"/>
      <c r="AC265" s="24"/>
      <c r="AD265" s="25"/>
      <c r="AE265" s="23"/>
      <c r="AF265" s="23"/>
      <c r="AG265" s="23"/>
      <c r="AH265" s="23"/>
      <c r="AI265" s="24"/>
      <c r="AJ265" s="23"/>
      <c r="AK265" s="23"/>
      <c r="AL265" s="23"/>
    </row>
    <row r="266" spans="1:38" ht="14.25" customHeight="1" x14ac:dyDescent="0.35">
      <c r="A266" s="23"/>
      <c r="B266" s="23"/>
      <c r="C266" s="23"/>
      <c r="D266" s="23"/>
      <c r="E266" s="23"/>
      <c r="F266" s="23"/>
      <c r="G266" s="23"/>
      <c r="H266" s="24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5"/>
      <c r="Y266" s="23"/>
      <c r="Z266" s="23"/>
      <c r="AA266" s="24"/>
      <c r="AB266" s="25"/>
      <c r="AC266" s="24"/>
      <c r="AD266" s="25"/>
      <c r="AE266" s="23"/>
      <c r="AF266" s="23"/>
      <c r="AG266" s="23"/>
      <c r="AH266" s="23"/>
      <c r="AI266" s="24"/>
      <c r="AJ266" s="23"/>
      <c r="AK266" s="23"/>
      <c r="AL266" s="23"/>
    </row>
    <row r="267" spans="1:38" ht="14.25" customHeight="1" x14ac:dyDescent="0.35">
      <c r="A267" s="23"/>
      <c r="B267" s="23"/>
      <c r="C267" s="23"/>
      <c r="D267" s="23"/>
      <c r="E267" s="23"/>
      <c r="F267" s="23"/>
      <c r="G267" s="23"/>
      <c r="H267" s="24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5"/>
      <c r="Y267" s="23"/>
      <c r="Z267" s="23"/>
      <c r="AA267" s="24"/>
      <c r="AB267" s="25"/>
      <c r="AC267" s="24"/>
      <c r="AD267" s="25"/>
      <c r="AE267" s="23"/>
      <c r="AF267" s="23"/>
      <c r="AG267" s="23"/>
      <c r="AH267" s="23"/>
      <c r="AI267" s="24"/>
      <c r="AJ267" s="23"/>
      <c r="AK267" s="23"/>
      <c r="AL267" s="23"/>
    </row>
    <row r="268" spans="1:38" ht="14.25" customHeight="1" x14ac:dyDescent="0.35">
      <c r="A268" s="23"/>
      <c r="B268" s="23"/>
      <c r="C268" s="23"/>
      <c r="D268" s="23"/>
      <c r="E268" s="23"/>
      <c r="F268" s="23"/>
      <c r="G268" s="23"/>
      <c r="H268" s="24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5"/>
      <c r="Y268" s="23"/>
      <c r="Z268" s="23"/>
      <c r="AA268" s="24"/>
      <c r="AB268" s="25"/>
      <c r="AC268" s="24"/>
      <c r="AD268" s="25"/>
      <c r="AE268" s="23"/>
      <c r="AF268" s="23"/>
      <c r="AG268" s="23"/>
      <c r="AH268" s="23"/>
      <c r="AI268" s="24"/>
      <c r="AJ268" s="23"/>
      <c r="AK268" s="23"/>
      <c r="AL268" s="23"/>
    </row>
    <row r="269" spans="1:38" ht="14.25" customHeight="1" x14ac:dyDescent="0.35">
      <c r="A269" s="23"/>
      <c r="B269" s="23"/>
      <c r="C269" s="23"/>
      <c r="D269" s="23"/>
      <c r="E269" s="23"/>
      <c r="F269" s="23"/>
      <c r="G269" s="23"/>
      <c r="H269" s="24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5"/>
      <c r="Y269" s="23"/>
      <c r="Z269" s="23"/>
      <c r="AA269" s="24"/>
      <c r="AB269" s="25"/>
      <c r="AC269" s="24"/>
      <c r="AD269" s="25"/>
      <c r="AE269" s="23"/>
      <c r="AF269" s="23"/>
      <c r="AG269" s="23"/>
      <c r="AH269" s="23"/>
      <c r="AI269" s="24"/>
      <c r="AJ269" s="23"/>
      <c r="AK269" s="23"/>
      <c r="AL269" s="23"/>
    </row>
    <row r="270" spans="1:38" ht="14.25" customHeight="1" x14ac:dyDescent="0.35">
      <c r="A270" s="23"/>
      <c r="B270" s="23"/>
      <c r="C270" s="23"/>
      <c r="D270" s="23"/>
      <c r="E270" s="23"/>
      <c r="F270" s="23"/>
      <c r="G270" s="23"/>
      <c r="H270" s="24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5"/>
      <c r="Y270" s="23"/>
      <c r="Z270" s="23"/>
      <c r="AA270" s="24"/>
      <c r="AB270" s="25"/>
      <c r="AC270" s="24"/>
      <c r="AD270" s="25"/>
      <c r="AE270" s="23"/>
      <c r="AF270" s="23"/>
      <c r="AG270" s="23"/>
      <c r="AH270" s="23"/>
      <c r="AI270" s="24"/>
      <c r="AJ270" s="23"/>
      <c r="AK270" s="23"/>
      <c r="AL270" s="23"/>
    </row>
    <row r="271" spans="1:38" ht="14.25" customHeight="1" x14ac:dyDescent="0.35">
      <c r="A271" s="23"/>
      <c r="B271" s="23"/>
      <c r="C271" s="23"/>
      <c r="D271" s="23"/>
      <c r="E271" s="23"/>
      <c r="F271" s="23"/>
      <c r="G271" s="23"/>
      <c r="H271" s="24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5"/>
      <c r="Y271" s="23"/>
      <c r="Z271" s="23"/>
      <c r="AA271" s="24"/>
      <c r="AB271" s="25"/>
      <c r="AC271" s="24"/>
      <c r="AD271" s="25"/>
      <c r="AE271" s="23"/>
      <c r="AF271" s="23"/>
      <c r="AG271" s="23"/>
      <c r="AH271" s="23"/>
      <c r="AI271" s="24"/>
      <c r="AJ271" s="23"/>
      <c r="AK271" s="23"/>
      <c r="AL271" s="23"/>
    </row>
    <row r="272" spans="1:38" ht="14.25" customHeight="1" x14ac:dyDescent="0.35">
      <c r="A272" s="23"/>
      <c r="B272" s="23"/>
      <c r="C272" s="23"/>
      <c r="D272" s="23"/>
      <c r="E272" s="23"/>
      <c r="F272" s="23"/>
      <c r="G272" s="23"/>
      <c r="H272" s="24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5"/>
      <c r="Y272" s="23"/>
      <c r="Z272" s="23"/>
      <c r="AA272" s="24"/>
      <c r="AB272" s="25"/>
      <c r="AC272" s="24"/>
      <c r="AD272" s="25"/>
      <c r="AE272" s="23"/>
      <c r="AF272" s="23"/>
      <c r="AG272" s="23"/>
      <c r="AH272" s="23"/>
      <c r="AI272" s="24"/>
      <c r="AJ272" s="23"/>
      <c r="AK272" s="23"/>
      <c r="AL272" s="23"/>
    </row>
    <row r="273" spans="1:38" ht="14.25" customHeight="1" x14ac:dyDescent="0.35">
      <c r="A273" s="23"/>
      <c r="B273" s="23"/>
      <c r="C273" s="23"/>
      <c r="D273" s="23"/>
      <c r="E273" s="23"/>
      <c r="F273" s="23"/>
      <c r="G273" s="23"/>
      <c r="H273" s="24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5"/>
      <c r="Y273" s="23"/>
      <c r="Z273" s="23"/>
      <c r="AA273" s="24"/>
      <c r="AB273" s="25"/>
      <c r="AC273" s="24"/>
      <c r="AD273" s="25"/>
      <c r="AE273" s="23"/>
      <c r="AF273" s="23"/>
      <c r="AG273" s="23"/>
      <c r="AH273" s="23"/>
      <c r="AI273" s="24"/>
      <c r="AJ273" s="23"/>
      <c r="AK273" s="23"/>
      <c r="AL273" s="23"/>
    </row>
    <row r="274" spans="1:38" ht="14.25" customHeight="1" x14ac:dyDescent="0.35">
      <c r="A274" s="23"/>
      <c r="B274" s="23"/>
      <c r="C274" s="23"/>
      <c r="D274" s="23"/>
      <c r="E274" s="23"/>
      <c r="F274" s="23"/>
      <c r="G274" s="23"/>
      <c r="H274" s="24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5"/>
      <c r="Y274" s="23"/>
      <c r="Z274" s="23"/>
      <c r="AA274" s="24"/>
      <c r="AB274" s="25"/>
      <c r="AC274" s="24"/>
      <c r="AD274" s="25"/>
      <c r="AE274" s="23"/>
      <c r="AF274" s="23"/>
      <c r="AG274" s="23"/>
      <c r="AH274" s="23"/>
      <c r="AI274" s="24"/>
      <c r="AJ274" s="23"/>
      <c r="AK274" s="23"/>
      <c r="AL274" s="23"/>
    </row>
    <row r="275" spans="1:38" ht="14.25" customHeight="1" x14ac:dyDescent="0.35">
      <c r="A275" s="23"/>
      <c r="B275" s="23"/>
      <c r="C275" s="23"/>
      <c r="D275" s="23"/>
      <c r="E275" s="23"/>
      <c r="F275" s="23"/>
      <c r="G275" s="23"/>
      <c r="H275" s="24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5"/>
      <c r="Y275" s="23"/>
      <c r="Z275" s="23"/>
      <c r="AA275" s="24"/>
      <c r="AB275" s="25"/>
      <c r="AC275" s="24"/>
      <c r="AD275" s="25"/>
      <c r="AE275" s="23"/>
      <c r="AF275" s="23"/>
      <c r="AG275" s="23"/>
      <c r="AH275" s="23"/>
      <c r="AI275" s="24"/>
      <c r="AJ275" s="23"/>
      <c r="AK275" s="23"/>
      <c r="AL275" s="23"/>
    </row>
    <row r="276" spans="1:38" ht="14.25" customHeight="1" x14ac:dyDescent="0.35">
      <c r="A276" s="23"/>
      <c r="B276" s="23"/>
      <c r="C276" s="23"/>
      <c r="D276" s="23"/>
      <c r="E276" s="23"/>
      <c r="F276" s="23"/>
      <c r="G276" s="23"/>
      <c r="H276" s="24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5"/>
      <c r="Y276" s="23"/>
      <c r="Z276" s="23"/>
      <c r="AA276" s="24"/>
      <c r="AB276" s="25"/>
      <c r="AC276" s="24"/>
      <c r="AD276" s="25"/>
      <c r="AE276" s="23"/>
      <c r="AF276" s="23"/>
      <c r="AG276" s="23"/>
      <c r="AH276" s="23"/>
      <c r="AI276" s="24"/>
      <c r="AJ276" s="23"/>
      <c r="AK276" s="23"/>
      <c r="AL276" s="23"/>
    </row>
    <row r="277" spans="1:38" ht="14.25" customHeight="1" x14ac:dyDescent="0.35">
      <c r="A277" s="23"/>
      <c r="B277" s="23"/>
      <c r="C277" s="23"/>
      <c r="D277" s="23"/>
      <c r="E277" s="23"/>
      <c r="F277" s="23"/>
      <c r="G277" s="23"/>
      <c r="H277" s="24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5"/>
      <c r="Y277" s="23"/>
      <c r="Z277" s="23"/>
      <c r="AA277" s="24"/>
      <c r="AB277" s="25"/>
      <c r="AC277" s="24"/>
      <c r="AD277" s="25"/>
      <c r="AE277" s="23"/>
      <c r="AF277" s="23"/>
      <c r="AG277" s="23"/>
      <c r="AH277" s="23"/>
      <c r="AI277" s="24"/>
      <c r="AJ277" s="23"/>
      <c r="AK277" s="23"/>
      <c r="AL277" s="23"/>
    </row>
    <row r="278" spans="1:38" ht="14.25" customHeight="1" x14ac:dyDescent="0.35">
      <c r="A278" s="23"/>
      <c r="B278" s="23"/>
      <c r="C278" s="23"/>
      <c r="D278" s="23"/>
      <c r="E278" s="23"/>
      <c r="F278" s="23"/>
      <c r="G278" s="23"/>
      <c r="H278" s="24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5"/>
      <c r="Y278" s="23"/>
      <c r="Z278" s="23"/>
      <c r="AA278" s="24"/>
      <c r="AB278" s="25"/>
      <c r="AC278" s="24"/>
      <c r="AD278" s="25"/>
      <c r="AE278" s="23"/>
      <c r="AF278" s="23"/>
      <c r="AG278" s="23"/>
      <c r="AH278" s="23"/>
      <c r="AI278" s="24"/>
      <c r="AJ278" s="23"/>
      <c r="AK278" s="23"/>
      <c r="AL278" s="23"/>
    </row>
    <row r="279" spans="1:38" ht="14.25" customHeight="1" x14ac:dyDescent="0.35">
      <c r="A279" s="23"/>
      <c r="B279" s="23"/>
      <c r="C279" s="23"/>
      <c r="D279" s="23"/>
      <c r="E279" s="23"/>
      <c r="F279" s="23"/>
      <c r="G279" s="23"/>
      <c r="H279" s="24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5"/>
      <c r="Y279" s="23"/>
      <c r="Z279" s="23"/>
      <c r="AA279" s="24"/>
      <c r="AB279" s="25"/>
      <c r="AC279" s="24"/>
      <c r="AD279" s="25"/>
      <c r="AE279" s="23"/>
      <c r="AF279" s="23"/>
      <c r="AG279" s="23"/>
      <c r="AH279" s="23"/>
      <c r="AI279" s="24"/>
      <c r="AJ279" s="23"/>
      <c r="AK279" s="23"/>
      <c r="AL279" s="23"/>
    </row>
    <row r="280" spans="1:38" ht="14.25" customHeight="1" x14ac:dyDescent="0.35">
      <c r="A280" s="23"/>
      <c r="B280" s="23"/>
      <c r="C280" s="23"/>
      <c r="D280" s="23"/>
      <c r="E280" s="23"/>
      <c r="F280" s="23"/>
      <c r="G280" s="23"/>
      <c r="H280" s="24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5"/>
      <c r="Y280" s="23"/>
      <c r="Z280" s="23"/>
      <c r="AA280" s="24"/>
      <c r="AB280" s="25"/>
      <c r="AC280" s="24"/>
      <c r="AD280" s="25"/>
      <c r="AE280" s="23"/>
      <c r="AF280" s="23"/>
      <c r="AG280" s="23"/>
      <c r="AH280" s="23"/>
      <c r="AI280" s="24"/>
      <c r="AJ280" s="23"/>
      <c r="AK280" s="23"/>
      <c r="AL280" s="23"/>
    </row>
    <row r="281" spans="1:38" ht="14.25" customHeight="1" x14ac:dyDescent="0.35">
      <c r="A281" s="23"/>
      <c r="B281" s="23"/>
      <c r="C281" s="23"/>
      <c r="D281" s="23"/>
      <c r="E281" s="23"/>
      <c r="F281" s="23"/>
      <c r="G281" s="23"/>
      <c r="H281" s="24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5"/>
      <c r="Y281" s="23"/>
      <c r="Z281" s="23"/>
      <c r="AA281" s="24"/>
      <c r="AB281" s="25"/>
      <c r="AC281" s="24"/>
      <c r="AD281" s="25"/>
      <c r="AE281" s="23"/>
      <c r="AF281" s="23"/>
      <c r="AG281" s="23"/>
      <c r="AH281" s="23"/>
      <c r="AI281" s="24"/>
      <c r="AJ281" s="23"/>
      <c r="AK281" s="23"/>
      <c r="AL281" s="23"/>
    </row>
    <row r="282" spans="1:38" ht="14.25" customHeight="1" x14ac:dyDescent="0.35">
      <c r="A282" s="23"/>
      <c r="B282" s="23"/>
      <c r="C282" s="23"/>
      <c r="D282" s="23"/>
      <c r="E282" s="23"/>
      <c r="F282" s="23"/>
      <c r="G282" s="23"/>
      <c r="H282" s="24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5"/>
      <c r="Y282" s="23"/>
      <c r="Z282" s="23"/>
      <c r="AA282" s="24"/>
      <c r="AB282" s="25"/>
      <c r="AC282" s="24"/>
      <c r="AD282" s="25"/>
      <c r="AE282" s="23"/>
      <c r="AF282" s="23"/>
      <c r="AG282" s="23"/>
      <c r="AH282" s="23"/>
      <c r="AI282" s="24"/>
      <c r="AJ282" s="23"/>
      <c r="AK282" s="23"/>
      <c r="AL282" s="23"/>
    </row>
    <row r="283" spans="1:38" ht="14.25" customHeight="1" x14ac:dyDescent="0.35">
      <c r="A283" s="23"/>
      <c r="B283" s="23"/>
      <c r="C283" s="23"/>
      <c r="D283" s="23"/>
      <c r="E283" s="23"/>
      <c r="F283" s="23"/>
      <c r="G283" s="23"/>
      <c r="H283" s="24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5"/>
      <c r="Y283" s="23"/>
      <c r="Z283" s="23"/>
      <c r="AA283" s="24"/>
      <c r="AB283" s="25"/>
      <c r="AC283" s="24"/>
      <c r="AD283" s="25"/>
      <c r="AE283" s="23"/>
      <c r="AF283" s="23"/>
      <c r="AG283" s="23"/>
      <c r="AH283" s="23"/>
      <c r="AI283" s="24"/>
      <c r="AJ283" s="23"/>
      <c r="AK283" s="23"/>
      <c r="AL283" s="23"/>
    </row>
    <row r="284" spans="1:38" ht="14.25" customHeight="1" x14ac:dyDescent="0.35">
      <c r="A284" s="23"/>
      <c r="B284" s="23"/>
      <c r="C284" s="23"/>
      <c r="D284" s="23"/>
      <c r="E284" s="23"/>
      <c r="F284" s="23"/>
      <c r="G284" s="23"/>
      <c r="H284" s="24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5"/>
      <c r="Y284" s="23"/>
      <c r="Z284" s="23"/>
      <c r="AA284" s="24"/>
      <c r="AB284" s="25"/>
      <c r="AC284" s="24"/>
      <c r="AD284" s="25"/>
      <c r="AE284" s="23"/>
      <c r="AF284" s="23"/>
      <c r="AG284" s="23"/>
      <c r="AH284" s="23"/>
      <c r="AI284" s="24"/>
      <c r="AJ284" s="23"/>
      <c r="AK284" s="23"/>
      <c r="AL284" s="23"/>
    </row>
    <row r="285" spans="1:38" ht="14.25" customHeight="1" x14ac:dyDescent="0.35">
      <c r="A285" s="23"/>
      <c r="B285" s="23"/>
      <c r="C285" s="23"/>
      <c r="D285" s="23"/>
      <c r="E285" s="23"/>
      <c r="F285" s="23"/>
      <c r="G285" s="23"/>
      <c r="H285" s="24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5"/>
      <c r="Y285" s="23"/>
      <c r="Z285" s="23"/>
      <c r="AA285" s="24"/>
      <c r="AB285" s="25"/>
      <c r="AC285" s="24"/>
      <c r="AD285" s="25"/>
      <c r="AE285" s="23"/>
      <c r="AF285" s="23"/>
      <c r="AG285" s="23"/>
      <c r="AH285" s="23"/>
      <c r="AI285" s="24"/>
      <c r="AJ285" s="23"/>
      <c r="AK285" s="23"/>
      <c r="AL285" s="23"/>
    </row>
    <row r="286" spans="1:38" ht="14.25" customHeight="1" x14ac:dyDescent="0.35">
      <c r="A286" s="23"/>
      <c r="B286" s="23"/>
      <c r="C286" s="23"/>
      <c r="D286" s="23"/>
      <c r="E286" s="23"/>
      <c r="F286" s="23"/>
      <c r="G286" s="23"/>
      <c r="H286" s="24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5"/>
      <c r="Y286" s="23"/>
      <c r="Z286" s="23"/>
      <c r="AA286" s="24"/>
      <c r="AB286" s="25"/>
      <c r="AC286" s="24"/>
      <c r="AD286" s="25"/>
      <c r="AE286" s="23"/>
      <c r="AF286" s="23"/>
      <c r="AG286" s="23"/>
      <c r="AH286" s="23"/>
      <c r="AI286" s="24"/>
      <c r="AJ286" s="23"/>
      <c r="AK286" s="23"/>
      <c r="AL286" s="23"/>
    </row>
    <row r="287" spans="1:38" ht="14.25" customHeight="1" x14ac:dyDescent="0.35">
      <c r="A287" s="23"/>
      <c r="B287" s="23"/>
      <c r="C287" s="23"/>
      <c r="D287" s="23"/>
      <c r="E287" s="23"/>
      <c r="F287" s="23"/>
      <c r="G287" s="23"/>
      <c r="H287" s="24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5"/>
      <c r="Y287" s="23"/>
      <c r="Z287" s="23"/>
      <c r="AA287" s="24"/>
      <c r="AB287" s="25"/>
      <c r="AC287" s="24"/>
      <c r="AD287" s="25"/>
      <c r="AE287" s="23"/>
      <c r="AF287" s="23"/>
      <c r="AG287" s="23"/>
      <c r="AH287" s="23"/>
      <c r="AI287" s="24"/>
      <c r="AJ287" s="23"/>
      <c r="AK287" s="23"/>
      <c r="AL287" s="23"/>
    </row>
    <row r="288" spans="1:38" ht="14.25" customHeight="1" x14ac:dyDescent="0.35">
      <c r="A288" s="23"/>
      <c r="B288" s="23"/>
      <c r="C288" s="23"/>
      <c r="D288" s="23"/>
      <c r="E288" s="23"/>
      <c r="F288" s="23"/>
      <c r="G288" s="23"/>
      <c r="H288" s="24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5"/>
      <c r="Y288" s="23"/>
      <c r="Z288" s="23"/>
      <c r="AA288" s="24"/>
      <c r="AB288" s="25"/>
      <c r="AC288" s="24"/>
      <c r="AD288" s="25"/>
      <c r="AE288" s="23"/>
      <c r="AF288" s="23"/>
      <c r="AG288" s="23"/>
      <c r="AH288" s="23"/>
      <c r="AI288" s="24"/>
      <c r="AJ288" s="23"/>
      <c r="AK288" s="23"/>
      <c r="AL288" s="23"/>
    </row>
    <row r="289" spans="1:38" ht="14.25" customHeight="1" x14ac:dyDescent="0.35">
      <c r="A289" s="23"/>
      <c r="B289" s="23"/>
      <c r="C289" s="23"/>
      <c r="D289" s="23"/>
      <c r="E289" s="23"/>
      <c r="F289" s="23"/>
      <c r="G289" s="23"/>
      <c r="H289" s="24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5"/>
      <c r="Y289" s="23"/>
      <c r="Z289" s="23"/>
      <c r="AA289" s="24"/>
      <c r="AB289" s="25"/>
      <c r="AC289" s="24"/>
      <c r="AD289" s="25"/>
      <c r="AE289" s="23"/>
      <c r="AF289" s="23"/>
      <c r="AG289" s="23"/>
      <c r="AH289" s="23"/>
      <c r="AI289" s="24"/>
      <c r="AJ289" s="23"/>
      <c r="AK289" s="23"/>
      <c r="AL289" s="23"/>
    </row>
    <row r="290" spans="1:38" ht="14.25" customHeight="1" x14ac:dyDescent="0.35">
      <c r="A290" s="23"/>
      <c r="B290" s="23"/>
      <c r="C290" s="23"/>
      <c r="D290" s="23"/>
      <c r="E290" s="23"/>
      <c r="F290" s="23"/>
      <c r="G290" s="23"/>
      <c r="H290" s="24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5"/>
      <c r="Y290" s="23"/>
      <c r="Z290" s="23"/>
      <c r="AA290" s="24"/>
      <c r="AB290" s="25"/>
      <c r="AC290" s="24"/>
      <c r="AD290" s="25"/>
      <c r="AE290" s="23"/>
      <c r="AF290" s="23"/>
      <c r="AG290" s="23"/>
      <c r="AH290" s="23"/>
      <c r="AI290" s="24"/>
      <c r="AJ290" s="23"/>
      <c r="AK290" s="23"/>
      <c r="AL290" s="23"/>
    </row>
    <row r="291" spans="1:38" ht="14.25" customHeight="1" x14ac:dyDescent="0.35">
      <c r="A291" s="23"/>
      <c r="B291" s="23"/>
      <c r="C291" s="23"/>
      <c r="D291" s="23"/>
      <c r="E291" s="23"/>
      <c r="F291" s="23"/>
      <c r="G291" s="23"/>
      <c r="H291" s="24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5"/>
      <c r="Y291" s="23"/>
      <c r="Z291" s="23"/>
      <c r="AA291" s="24"/>
      <c r="AB291" s="25"/>
      <c r="AC291" s="24"/>
      <c r="AD291" s="25"/>
      <c r="AE291" s="23"/>
      <c r="AF291" s="23"/>
      <c r="AG291" s="23"/>
      <c r="AH291" s="23"/>
      <c r="AI291" s="24"/>
      <c r="AJ291" s="23"/>
      <c r="AK291" s="23"/>
      <c r="AL291" s="23"/>
    </row>
    <row r="292" spans="1:38" ht="14.25" customHeight="1" x14ac:dyDescent="0.35">
      <c r="A292" s="23"/>
      <c r="B292" s="23"/>
      <c r="C292" s="23"/>
      <c r="D292" s="23"/>
      <c r="E292" s="23"/>
      <c r="F292" s="23"/>
      <c r="G292" s="23"/>
      <c r="H292" s="24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5"/>
      <c r="Y292" s="23"/>
      <c r="Z292" s="23"/>
      <c r="AA292" s="24"/>
      <c r="AB292" s="25"/>
      <c r="AC292" s="24"/>
      <c r="AD292" s="25"/>
      <c r="AE292" s="23"/>
      <c r="AF292" s="23"/>
      <c r="AG292" s="23"/>
      <c r="AH292" s="23"/>
      <c r="AI292" s="24"/>
      <c r="AJ292" s="23"/>
      <c r="AK292" s="23"/>
      <c r="AL292" s="23"/>
    </row>
    <row r="293" spans="1:38" ht="14.25" customHeight="1" x14ac:dyDescent="0.35">
      <c r="A293" s="23"/>
      <c r="B293" s="23"/>
      <c r="C293" s="23"/>
      <c r="D293" s="23"/>
      <c r="E293" s="23"/>
      <c r="F293" s="23"/>
      <c r="G293" s="23"/>
      <c r="H293" s="24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5"/>
      <c r="Y293" s="23"/>
      <c r="Z293" s="23"/>
      <c r="AA293" s="24"/>
      <c r="AB293" s="25"/>
      <c r="AC293" s="24"/>
      <c r="AD293" s="25"/>
      <c r="AE293" s="23"/>
      <c r="AF293" s="23"/>
      <c r="AG293" s="23"/>
      <c r="AH293" s="23"/>
      <c r="AI293" s="24"/>
      <c r="AJ293" s="23"/>
      <c r="AK293" s="23"/>
      <c r="AL293" s="23"/>
    </row>
    <row r="294" spans="1:38" ht="14.25" customHeight="1" x14ac:dyDescent="0.35">
      <c r="A294" s="23"/>
      <c r="B294" s="23"/>
      <c r="C294" s="23"/>
      <c r="D294" s="23"/>
      <c r="E294" s="23"/>
      <c r="F294" s="23"/>
      <c r="G294" s="23"/>
      <c r="H294" s="24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5"/>
      <c r="Y294" s="23"/>
      <c r="Z294" s="23"/>
      <c r="AA294" s="24"/>
      <c r="AB294" s="25"/>
      <c r="AC294" s="24"/>
      <c r="AD294" s="25"/>
      <c r="AE294" s="23"/>
      <c r="AF294" s="23"/>
      <c r="AG294" s="23"/>
      <c r="AH294" s="23"/>
      <c r="AI294" s="24"/>
      <c r="AJ294" s="23"/>
      <c r="AK294" s="23"/>
      <c r="AL294" s="23"/>
    </row>
    <row r="295" spans="1:38" ht="14.25" customHeight="1" x14ac:dyDescent="0.35">
      <c r="A295" s="23"/>
      <c r="B295" s="23"/>
      <c r="C295" s="23"/>
      <c r="D295" s="23"/>
      <c r="E295" s="23"/>
      <c r="F295" s="23"/>
      <c r="G295" s="23"/>
      <c r="H295" s="24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5"/>
      <c r="Y295" s="23"/>
      <c r="Z295" s="23"/>
      <c r="AA295" s="24"/>
      <c r="AB295" s="25"/>
      <c r="AC295" s="24"/>
      <c r="AD295" s="25"/>
      <c r="AE295" s="23"/>
      <c r="AF295" s="23"/>
      <c r="AG295" s="23"/>
      <c r="AH295" s="23"/>
      <c r="AI295" s="24"/>
      <c r="AJ295" s="23"/>
      <c r="AK295" s="23"/>
      <c r="AL295" s="23"/>
    </row>
    <row r="296" spans="1:38" ht="14.25" customHeight="1" x14ac:dyDescent="0.35">
      <c r="A296" s="23"/>
      <c r="B296" s="23"/>
      <c r="C296" s="23"/>
      <c r="D296" s="23"/>
      <c r="E296" s="23"/>
      <c r="F296" s="23"/>
      <c r="G296" s="23"/>
      <c r="H296" s="24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5"/>
      <c r="Y296" s="23"/>
      <c r="Z296" s="23"/>
      <c r="AA296" s="24"/>
      <c r="AB296" s="25"/>
      <c r="AC296" s="24"/>
      <c r="AD296" s="25"/>
      <c r="AE296" s="23"/>
      <c r="AF296" s="23"/>
      <c r="AG296" s="23"/>
      <c r="AH296" s="23"/>
      <c r="AI296" s="24"/>
      <c r="AJ296" s="23"/>
      <c r="AK296" s="23"/>
      <c r="AL296" s="23"/>
    </row>
    <row r="297" spans="1:38" ht="14.25" customHeight="1" x14ac:dyDescent="0.35">
      <c r="A297" s="23"/>
      <c r="B297" s="23"/>
      <c r="C297" s="23"/>
      <c r="D297" s="23"/>
      <c r="E297" s="23"/>
      <c r="F297" s="23"/>
      <c r="G297" s="23"/>
      <c r="H297" s="24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5"/>
      <c r="Y297" s="23"/>
      <c r="Z297" s="23"/>
      <c r="AA297" s="24"/>
      <c r="AB297" s="25"/>
      <c r="AC297" s="24"/>
      <c r="AD297" s="25"/>
      <c r="AE297" s="23"/>
      <c r="AF297" s="23"/>
      <c r="AG297" s="23"/>
      <c r="AH297" s="23"/>
      <c r="AI297" s="24"/>
      <c r="AJ297" s="23"/>
      <c r="AK297" s="23"/>
      <c r="AL297" s="23"/>
    </row>
    <row r="298" spans="1:38" ht="14.25" customHeight="1" x14ac:dyDescent="0.35">
      <c r="A298" s="23"/>
      <c r="B298" s="23"/>
      <c r="C298" s="23"/>
      <c r="D298" s="23"/>
      <c r="E298" s="23"/>
      <c r="F298" s="23"/>
      <c r="G298" s="23"/>
      <c r="H298" s="24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5"/>
      <c r="Y298" s="23"/>
      <c r="Z298" s="23"/>
      <c r="AA298" s="24"/>
      <c r="AB298" s="25"/>
      <c r="AC298" s="24"/>
      <c r="AD298" s="25"/>
      <c r="AE298" s="23"/>
      <c r="AF298" s="23"/>
      <c r="AG298" s="23"/>
      <c r="AH298" s="23"/>
      <c r="AI298" s="24"/>
      <c r="AJ298" s="23"/>
      <c r="AK298" s="23"/>
      <c r="AL298" s="23"/>
    </row>
    <row r="299" spans="1:38" ht="14.25" customHeight="1" x14ac:dyDescent="0.35">
      <c r="A299" s="23"/>
      <c r="B299" s="23"/>
      <c r="C299" s="23"/>
      <c r="D299" s="23"/>
      <c r="E299" s="23"/>
      <c r="F299" s="23"/>
      <c r="G299" s="23"/>
      <c r="H299" s="24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5"/>
      <c r="Y299" s="23"/>
      <c r="Z299" s="23"/>
      <c r="AA299" s="24"/>
      <c r="AB299" s="25"/>
      <c r="AC299" s="24"/>
      <c r="AD299" s="25"/>
      <c r="AE299" s="23"/>
      <c r="AF299" s="23"/>
      <c r="AG299" s="23"/>
      <c r="AH299" s="23"/>
      <c r="AI299" s="24"/>
      <c r="AJ299" s="23"/>
      <c r="AK299" s="23"/>
      <c r="AL299" s="23"/>
    </row>
    <row r="300" spans="1:38" ht="14.25" customHeight="1" x14ac:dyDescent="0.35">
      <c r="A300" s="23"/>
      <c r="B300" s="23"/>
      <c r="C300" s="23"/>
      <c r="D300" s="23"/>
      <c r="E300" s="23"/>
      <c r="F300" s="23"/>
      <c r="G300" s="23"/>
      <c r="H300" s="24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5"/>
      <c r="Y300" s="23"/>
      <c r="Z300" s="23"/>
      <c r="AA300" s="24"/>
      <c r="AB300" s="25"/>
      <c r="AC300" s="24"/>
      <c r="AD300" s="25"/>
      <c r="AE300" s="23"/>
      <c r="AF300" s="23"/>
      <c r="AG300" s="23"/>
      <c r="AH300" s="23"/>
      <c r="AI300" s="24"/>
      <c r="AJ300" s="23"/>
      <c r="AK300" s="23"/>
      <c r="AL300" s="23"/>
    </row>
    <row r="301" spans="1:38" ht="14.25" customHeight="1" x14ac:dyDescent="0.35">
      <c r="A301" s="23"/>
      <c r="B301" s="23"/>
      <c r="C301" s="23"/>
      <c r="D301" s="23"/>
      <c r="E301" s="23"/>
      <c r="F301" s="23"/>
      <c r="G301" s="23"/>
      <c r="H301" s="24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5"/>
      <c r="Y301" s="23"/>
      <c r="Z301" s="23"/>
      <c r="AA301" s="24"/>
      <c r="AB301" s="25"/>
      <c r="AC301" s="24"/>
      <c r="AD301" s="25"/>
      <c r="AE301" s="23"/>
      <c r="AF301" s="23"/>
      <c r="AG301" s="23"/>
      <c r="AH301" s="23"/>
      <c r="AI301" s="24"/>
      <c r="AJ301" s="23"/>
      <c r="AK301" s="23"/>
      <c r="AL301" s="23"/>
    </row>
    <row r="302" spans="1:38" ht="14.25" customHeight="1" x14ac:dyDescent="0.35">
      <c r="A302" s="23"/>
      <c r="B302" s="23"/>
      <c r="C302" s="23"/>
      <c r="D302" s="23"/>
      <c r="E302" s="23"/>
      <c r="F302" s="23"/>
      <c r="G302" s="23"/>
      <c r="H302" s="24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5"/>
      <c r="Y302" s="23"/>
      <c r="Z302" s="23"/>
      <c r="AA302" s="24"/>
      <c r="AB302" s="25"/>
      <c r="AC302" s="24"/>
      <c r="AD302" s="25"/>
      <c r="AE302" s="23"/>
      <c r="AF302" s="23"/>
      <c r="AG302" s="23"/>
      <c r="AH302" s="23"/>
      <c r="AI302" s="24"/>
      <c r="AJ302" s="23"/>
      <c r="AK302" s="23"/>
      <c r="AL302" s="23"/>
    </row>
    <row r="303" spans="1:38" ht="14.25" customHeight="1" x14ac:dyDescent="0.35">
      <c r="A303" s="23"/>
      <c r="B303" s="23"/>
      <c r="C303" s="23"/>
      <c r="D303" s="23"/>
      <c r="E303" s="23"/>
      <c r="F303" s="23"/>
      <c r="G303" s="23"/>
      <c r="H303" s="24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5"/>
      <c r="Y303" s="23"/>
      <c r="Z303" s="23"/>
      <c r="AA303" s="24"/>
      <c r="AB303" s="25"/>
      <c r="AC303" s="24"/>
      <c r="AD303" s="25"/>
      <c r="AE303" s="23"/>
      <c r="AF303" s="23"/>
      <c r="AG303" s="23"/>
      <c r="AH303" s="23"/>
      <c r="AI303" s="24"/>
      <c r="AJ303" s="23"/>
      <c r="AK303" s="23"/>
      <c r="AL303" s="23"/>
    </row>
    <row r="304" spans="1:38" ht="14.25" customHeight="1" x14ac:dyDescent="0.35">
      <c r="A304" s="23"/>
      <c r="B304" s="23"/>
      <c r="C304" s="23"/>
      <c r="D304" s="23"/>
      <c r="E304" s="23"/>
      <c r="F304" s="23"/>
      <c r="G304" s="23"/>
      <c r="H304" s="24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5"/>
      <c r="Y304" s="23"/>
      <c r="Z304" s="23"/>
      <c r="AA304" s="24"/>
      <c r="AB304" s="25"/>
      <c r="AC304" s="24"/>
      <c r="AD304" s="25"/>
      <c r="AE304" s="23"/>
      <c r="AF304" s="23"/>
      <c r="AG304" s="23"/>
      <c r="AH304" s="23"/>
      <c r="AI304" s="24"/>
      <c r="AJ304" s="23"/>
      <c r="AK304" s="23"/>
      <c r="AL304" s="23"/>
    </row>
    <row r="305" spans="1:38" ht="14.25" customHeight="1" x14ac:dyDescent="0.35">
      <c r="A305" s="23"/>
      <c r="B305" s="23"/>
      <c r="C305" s="23"/>
      <c r="D305" s="23"/>
      <c r="E305" s="23"/>
      <c r="F305" s="23"/>
      <c r="G305" s="23"/>
      <c r="H305" s="24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5"/>
      <c r="Y305" s="23"/>
      <c r="Z305" s="23"/>
      <c r="AA305" s="24"/>
      <c r="AB305" s="25"/>
      <c r="AC305" s="24"/>
      <c r="AD305" s="25"/>
      <c r="AE305" s="23"/>
      <c r="AF305" s="23"/>
      <c r="AG305" s="23"/>
      <c r="AH305" s="23"/>
      <c r="AI305" s="24"/>
      <c r="AJ305" s="23"/>
      <c r="AK305" s="23"/>
      <c r="AL305" s="23"/>
    </row>
    <row r="306" spans="1:38" ht="14.25" customHeight="1" x14ac:dyDescent="0.35">
      <c r="A306" s="23"/>
      <c r="B306" s="23"/>
      <c r="C306" s="23"/>
      <c r="D306" s="23"/>
      <c r="E306" s="23"/>
      <c r="F306" s="23"/>
      <c r="G306" s="23"/>
      <c r="H306" s="24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5"/>
      <c r="Y306" s="23"/>
      <c r="Z306" s="23"/>
      <c r="AA306" s="24"/>
      <c r="AB306" s="25"/>
      <c r="AC306" s="24"/>
      <c r="AD306" s="25"/>
      <c r="AE306" s="23"/>
      <c r="AF306" s="23"/>
      <c r="AG306" s="23"/>
      <c r="AH306" s="23"/>
      <c r="AI306" s="24"/>
      <c r="AJ306" s="23"/>
      <c r="AK306" s="23"/>
      <c r="AL306" s="23"/>
    </row>
    <row r="307" spans="1:38" ht="14.25" customHeight="1" x14ac:dyDescent="0.35">
      <c r="A307" s="23"/>
      <c r="B307" s="23"/>
      <c r="C307" s="23"/>
      <c r="D307" s="23"/>
      <c r="E307" s="23"/>
      <c r="F307" s="23"/>
      <c r="G307" s="23"/>
      <c r="H307" s="24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5"/>
      <c r="Y307" s="23"/>
      <c r="Z307" s="23"/>
      <c r="AA307" s="24"/>
      <c r="AB307" s="25"/>
      <c r="AC307" s="24"/>
      <c r="AD307" s="25"/>
      <c r="AE307" s="23"/>
      <c r="AF307" s="23"/>
      <c r="AG307" s="23"/>
      <c r="AH307" s="23"/>
      <c r="AI307" s="24"/>
      <c r="AJ307" s="23"/>
      <c r="AK307" s="23"/>
      <c r="AL307" s="23"/>
    </row>
    <row r="308" spans="1:38" ht="14.25" customHeight="1" x14ac:dyDescent="0.35">
      <c r="A308" s="23"/>
      <c r="B308" s="23"/>
      <c r="C308" s="23"/>
      <c r="D308" s="23"/>
      <c r="E308" s="23"/>
      <c r="F308" s="23"/>
      <c r="G308" s="23"/>
      <c r="H308" s="24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5"/>
      <c r="Y308" s="23"/>
      <c r="Z308" s="23"/>
      <c r="AA308" s="24"/>
      <c r="AB308" s="25"/>
      <c r="AC308" s="24"/>
      <c r="AD308" s="25"/>
      <c r="AE308" s="23"/>
      <c r="AF308" s="23"/>
      <c r="AG308" s="23"/>
      <c r="AH308" s="23"/>
      <c r="AI308" s="24"/>
      <c r="AJ308" s="23"/>
      <c r="AK308" s="23"/>
      <c r="AL308" s="23"/>
    </row>
    <row r="309" spans="1:38" ht="15.75" customHeight="1" x14ac:dyDescent="0.35">
      <c r="X309" s="26"/>
      <c r="AA309" s="27"/>
      <c r="AI309" s="27"/>
    </row>
    <row r="310" spans="1:38" ht="15.75" customHeight="1" x14ac:dyDescent="0.35">
      <c r="X310" s="26"/>
      <c r="AA310" s="27"/>
      <c r="AI310" s="27"/>
    </row>
    <row r="311" spans="1:38" ht="15.75" customHeight="1" x14ac:dyDescent="0.35">
      <c r="X311" s="26"/>
      <c r="AA311" s="27"/>
      <c r="AI311" s="27"/>
    </row>
    <row r="312" spans="1:38" ht="15.75" customHeight="1" x14ac:dyDescent="0.35">
      <c r="X312" s="26"/>
      <c r="AA312" s="27"/>
      <c r="AI312" s="27"/>
    </row>
    <row r="313" spans="1:38" ht="15.75" customHeight="1" x14ac:dyDescent="0.35">
      <c r="X313" s="26"/>
      <c r="AA313" s="27"/>
      <c r="AI313" s="27"/>
    </row>
    <row r="314" spans="1:38" ht="15.75" customHeight="1" x14ac:dyDescent="0.35">
      <c r="X314" s="26"/>
      <c r="AA314" s="27"/>
      <c r="AI314" s="27"/>
    </row>
    <row r="315" spans="1:38" ht="15.75" customHeight="1" x14ac:dyDescent="0.35">
      <c r="X315" s="26"/>
      <c r="AA315" s="27"/>
      <c r="AI315" s="27"/>
    </row>
    <row r="316" spans="1:38" ht="15.75" customHeight="1" x14ac:dyDescent="0.35">
      <c r="X316" s="26"/>
      <c r="AA316" s="27"/>
      <c r="AI316" s="27"/>
    </row>
    <row r="317" spans="1:38" ht="15.75" customHeight="1" x14ac:dyDescent="0.35">
      <c r="X317" s="26"/>
      <c r="AA317" s="27"/>
      <c r="AI317" s="27"/>
    </row>
    <row r="318" spans="1:38" ht="15.75" customHeight="1" x14ac:dyDescent="0.35">
      <c r="X318" s="26"/>
      <c r="AA318" s="27"/>
      <c r="AI318" s="27"/>
    </row>
    <row r="319" spans="1:38" ht="15.75" customHeight="1" x14ac:dyDescent="0.35">
      <c r="X319" s="26"/>
      <c r="AA319" s="27"/>
      <c r="AI319" s="27"/>
    </row>
    <row r="320" spans="1:38" ht="15.75" customHeight="1" x14ac:dyDescent="0.35">
      <c r="X320" s="26"/>
      <c r="AA320" s="27"/>
      <c r="AI320" s="27"/>
    </row>
    <row r="321" spans="24:35" ht="15.75" customHeight="1" x14ac:dyDescent="0.35">
      <c r="X321" s="26"/>
      <c r="AA321" s="27"/>
      <c r="AI321" s="27"/>
    </row>
    <row r="322" spans="24:35" ht="15.75" customHeight="1" x14ac:dyDescent="0.35">
      <c r="X322" s="26"/>
      <c r="AA322" s="27"/>
      <c r="AI322" s="27"/>
    </row>
    <row r="323" spans="24:35" ht="15.75" customHeight="1" x14ac:dyDescent="0.35">
      <c r="X323" s="26"/>
      <c r="AA323" s="27"/>
      <c r="AI323" s="27"/>
    </row>
    <row r="324" spans="24:35" ht="15.75" customHeight="1" x14ac:dyDescent="0.35">
      <c r="X324" s="26"/>
      <c r="AA324" s="27"/>
      <c r="AI324" s="27"/>
    </row>
    <row r="325" spans="24:35" ht="15.75" customHeight="1" x14ac:dyDescent="0.35">
      <c r="X325" s="26"/>
      <c r="AA325" s="27"/>
      <c r="AI325" s="27"/>
    </row>
    <row r="326" spans="24:35" ht="15.75" customHeight="1" x14ac:dyDescent="0.35">
      <c r="X326" s="26"/>
      <c r="AA326" s="27"/>
      <c r="AI326" s="27"/>
    </row>
    <row r="327" spans="24:35" ht="15.75" customHeight="1" x14ac:dyDescent="0.35">
      <c r="X327" s="26"/>
      <c r="AA327" s="27"/>
      <c r="AI327" s="27"/>
    </row>
    <row r="328" spans="24:35" ht="15.75" customHeight="1" x14ac:dyDescent="0.35">
      <c r="X328" s="26"/>
      <c r="AA328" s="27"/>
      <c r="AI328" s="27"/>
    </row>
    <row r="329" spans="24:35" ht="15.75" customHeight="1" x14ac:dyDescent="0.35">
      <c r="X329" s="26"/>
      <c r="AA329" s="27"/>
      <c r="AI329" s="27"/>
    </row>
    <row r="330" spans="24:35" ht="15.75" customHeight="1" x14ac:dyDescent="0.35">
      <c r="X330" s="26"/>
      <c r="AA330" s="27"/>
      <c r="AI330" s="27"/>
    </row>
    <row r="331" spans="24:35" ht="15.75" customHeight="1" x14ac:dyDescent="0.35">
      <c r="X331" s="26"/>
      <c r="AA331" s="27"/>
      <c r="AI331" s="27"/>
    </row>
    <row r="332" spans="24:35" ht="15.75" customHeight="1" x14ac:dyDescent="0.35">
      <c r="X332" s="26"/>
      <c r="AA332" s="27"/>
      <c r="AI332" s="27"/>
    </row>
    <row r="333" spans="24:35" ht="15.75" customHeight="1" x14ac:dyDescent="0.35">
      <c r="X333" s="26"/>
      <c r="AA333" s="27"/>
      <c r="AI333" s="27"/>
    </row>
    <row r="334" spans="24:35" ht="15.75" customHeight="1" x14ac:dyDescent="0.35">
      <c r="X334" s="26"/>
      <c r="AA334" s="27"/>
      <c r="AI334" s="27"/>
    </row>
    <row r="335" spans="24:35" ht="15.75" customHeight="1" x14ac:dyDescent="0.35">
      <c r="X335" s="26"/>
      <c r="AA335" s="27"/>
      <c r="AI335" s="27"/>
    </row>
    <row r="336" spans="24:35" ht="15.75" customHeight="1" x14ac:dyDescent="0.35">
      <c r="X336" s="26"/>
      <c r="AA336" s="27"/>
      <c r="AI336" s="27"/>
    </row>
    <row r="337" spans="24:35" ht="15.75" customHeight="1" x14ac:dyDescent="0.35">
      <c r="X337" s="26"/>
      <c r="AA337" s="27"/>
      <c r="AI337" s="27"/>
    </row>
    <row r="338" spans="24:35" ht="15.75" customHeight="1" x14ac:dyDescent="0.35">
      <c r="X338" s="26"/>
      <c r="AA338" s="27"/>
      <c r="AI338" s="27"/>
    </row>
    <row r="339" spans="24:35" ht="15.75" customHeight="1" x14ac:dyDescent="0.35">
      <c r="X339" s="26"/>
      <c r="AA339" s="27"/>
      <c r="AI339" s="27"/>
    </row>
    <row r="340" spans="24:35" ht="15.75" customHeight="1" x14ac:dyDescent="0.35">
      <c r="X340" s="26"/>
      <c r="AA340" s="27"/>
      <c r="AI340" s="27"/>
    </row>
    <row r="341" spans="24:35" ht="15.75" customHeight="1" x14ac:dyDescent="0.35">
      <c r="X341" s="26"/>
      <c r="AA341" s="27"/>
      <c r="AI341" s="27"/>
    </row>
    <row r="342" spans="24:35" ht="15.75" customHeight="1" x14ac:dyDescent="0.35">
      <c r="X342" s="26"/>
      <c r="AA342" s="27"/>
      <c r="AI342" s="27"/>
    </row>
    <row r="343" spans="24:35" ht="15.75" customHeight="1" x14ac:dyDescent="0.35">
      <c r="X343" s="26"/>
      <c r="AA343" s="27"/>
      <c r="AI343" s="27"/>
    </row>
    <row r="344" spans="24:35" ht="15.75" customHeight="1" x14ac:dyDescent="0.35">
      <c r="X344" s="26"/>
      <c r="AA344" s="27"/>
      <c r="AI344" s="27"/>
    </row>
    <row r="345" spans="24:35" ht="15.75" customHeight="1" x14ac:dyDescent="0.35">
      <c r="X345" s="26"/>
      <c r="AA345" s="27"/>
      <c r="AI345" s="27"/>
    </row>
    <row r="346" spans="24:35" ht="15.75" customHeight="1" x14ac:dyDescent="0.35">
      <c r="X346" s="26"/>
      <c r="AA346" s="27"/>
      <c r="AI346" s="27"/>
    </row>
    <row r="347" spans="24:35" ht="15.75" customHeight="1" x14ac:dyDescent="0.35">
      <c r="X347" s="26"/>
      <c r="AA347" s="27"/>
      <c r="AI347" s="27"/>
    </row>
    <row r="348" spans="24:35" ht="15.75" customHeight="1" x14ac:dyDescent="0.35">
      <c r="X348" s="26"/>
      <c r="AA348" s="27"/>
      <c r="AI348" s="27"/>
    </row>
    <row r="349" spans="24:35" ht="15.75" customHeight="1" x14ac:dyDescent="0.35">
      <c r="X349" s="26"/>
      <c r="AA349" s="27"/>
      <c r="AI349" s="27"/>
    </row>
    <row r="350" spans="24:35" ht="15.75" customHeight="1" x14ac:dyDescent="0.35">
      <c r="X350" s="26"/>
      <c r="AA350" s="27"/>
      <c r="AI350" s="27"/>
    </row>
    <row r="351" spans="24:35" ht="15.75" customHeight="1" x14ac:dyDescent="0.35">
      <c r="X351" s="26"/>
      <c r="AA351" s="27"/>
      <c r="AI351" s="27"/>
    </row>
    <row r="352" spans="24:35" ht="15.75" customHeight="1" x14ac:dyDescent="0.35">
      <c r="X352" s="26"/>
      <c r="AA352" s="27"/>
      <c r="AI352" s="27"/>
    </row>
    <row r="353" spans="24:35" ht="15.75" customHeight="1" x14ac:dyDescent="0.35">
      <c r="X353" s="26"/>
      <c r="AA353" s="27"/>
      <c r="AI353" s="27"/>
    </row>
    <row r="354" spans="24:35" ht="15.75" customHeight="1" x14ac:dyDescent="0.35">
      <c r="X354" s="26"/>
      <c r="AA354" s="27"/>
      <c r="AI354" s="27"/>
    </row>
    <row r="355" spans="24:35" ht="15.75" customHeight="1" x14ac:dyDescent="0.35">
      <c r="X355" s="26"/>
      <c r="AA355" s="27"/>
      <c r="AI355" s="27"/>
    </row>
    <row r="356" spans="24:35" ht="15.75" customHeight="1" x14ac:dyDescent="0.35">
      <c r="X356" s="26"/>
      <c r="AA356" s="27"/>
      <c r="AI356" s="27"/>
    </row>
    <row r="357" spans="24:35" ht="15.75" customHeight="1" x14ac:dyDescent="0.35">
      <c r="X357" s="26"/>
      <c r="AA357" s="27"/>
      <c r="AI357" s="27"/>
    </row>
    <row r="358" spans="24:35" ht="15.75" customHeight="1" x14ac:dyDescent="0.35">
      <c r="X358" s="26"/>
      <c r="AA358" s="27"/>
      <c r="AI358" s="27"/>
    </row>
    <row r="359" spans="24:35" ht="15.75" customHeight="1" x14ac:dyDescent="0.35">
      <c r="X359" s="26"/>
      <c r="AA359" s="27"/>
      <c r="AI359" s="27"/>
    </row>
    <row r="360" spans="24:35" ht="15.75" customHeight="1" x14ac:dyDescent="0.35">
      <c r="X360" s="26"/>
      <c r="AA360" s="27"/>
      <c r="AI360" s="27"/>
    </row>
    <row r="361" spans="24:35" ht="15.75" customHeight="1" x14ac:dyDescent="0.35">
      <c r="X361" s="26"/>
      <c r="AA361" s="27"/>
      <c r="AI361" s="27"/>
    </row>
    <row r="362" spans="24:35" ht="15.75" customHeight="1" x14ac:dyDescent="0.35">
      <c r="X362" s="26"/>
      <c r="AA362" s="27"/>
      <c r="AI362" s="27"/>
    </row>
    <row r="363" spans="24:35" ht="15.75" customHeight="1" x14ac:dyDescent="0.35">
      <c r="X363" s="26"/>
      <c r="AA363" s="27"/>
      <c r="AI363" s="27"/>
    </row>
    <row r="364" spans="24:35" ht="15.75" customHeight="1" x14ac:dyDescent="0.35">
      <c r="X364" s="26"/>
      <c r="AA364" s="27"/>
      <c r="AI364" s="27"/>
    </row>
    <row r="365" spans="24:35" ht="15.75" customHeight="1" x14ac:dyDescent="0.35">
      <c r="X365" s="26"/>
      <c r="AA365" s="27"/>
      <c r="AI365" s="27"/>
    </row>
    <row r="366" spans="24:35" ht="15.75" customHeight="1" x14ac:dyDescent="0.35">
      <c r="X366" s="26"/>
      <c r="AA366" s="27"/>
      <c r="AI366" s="27"/>
    </row>
    <row r="367" spans="24:35" ht="15.75" customHeight="1" x14ac:dyDescent="0.35">
      <c r="X367" s="26"/>
      <c r="AA367" s="27"/>
      <c r="AI367" s="27"/>
    </row>
    <row r="368" spans="24:35" ht="15.75" customHeight="1" x14ac:dyDescent="0.35">
      <c r="X368" s="26"/>
      <c r="AA368" s="27"/>
      <c r="AI368" s="27"/>
    </row>
    <row r="369" spans="24:35" ht="15.75" customHeight="1" x14ac:dyDescent="0.35">
      <c r="X369" s="26"/>
      <c r="AA369" s="27"/>
      <c r="AI369" s="27"/>
    </row>
    <row r="370" spans="24:35" ht="15.75" customHeight="1" x14ac:dyDescent="0.35">
      <c r="X370" s="26"/>
      <c r="AA370" s="27"/>
      <c r="AI370" s="27"/>
    </row>
    <row r="371" spans="24:35" ht="15.75" customHeight="1" x14ac:dyDescent="0.35">
      <c r="X371" s="26"/>
      <c r="AA371" s="27"/>
      <c r="AI371" s="27"/>
    </row>
    <row r="372" spans="24:35" ht="15.75" customHeight="1" x14ac:dyDescent="0.35">
      <c r="X372" s="26"/>
      <c r="AA372" s="27"/>
      <c r="AI372" s="27"/>
    </row>
    <row r="373" spans="24:35" ht="15.75" customHeight="1" x14ac:dyDescent="0.35">
      <c r="X373" s="26"/>
      <c r="AA373" s="27"/>
      <c r="AI373" s="27"/>
    </row>
    <row r="374" spans="24:35" ht="15.75" customHeight="1" x14ac:dyDescent="0.35">
      <c r="X374" s="26"/>
      <c r="AA374" s="27"/>
      <c r="AI374" s="27"/>
    </row>
    <row r="375" spans="24:35" ht="15.75" customHeight="1" x14ac:dyDescent="0.35">
      <c r="X375" s="26"/>
      <c r="AA375" s="27"/>
      <c r="AI375" s="27"/>
    </row>
    <row r="376" spans="24:35" ht="15.75" customHeight="1" x14ac:dyDescent="0.35">
      <c r="X376" s="26"/>
      <c r="AA376" s="27"/>
      <c r="AI376" s="27"/>
    </row>
    <row r="377" spans="24:35" ht="15.75" customHeight="1" x14ac:dyDescent="0.35">
      <c r="X377" s="26"/>
      <c r="AA377" s="27"/>
      <c r="AI377" s="27"/>
    </row>
    <row r="378" spans="24:35" ht="15.75" customHeight="1" x14ac:dyDescent="0.35">
      <c r="X378" s="26"/>
      <c r="AA378" s="27"/>
      <c r="AI378" s="27"/>
    </row>
    <row r="379" spans="24:35" ht="15.75" customHeight="1" x14ac:dyDescent="0.35">
      <c r="X379" s="26"/>
      <c r="AA379" s="27"/>
      <c r="AI379" s="27"/>
    </row>
    <row r="380" spans="24:35" ht="15.75" customHeight="1" x14ac:dyDescent="0.35">
      <c r="X380" s="26"/>
      <c r="AA380" s="27"/>
      <c r="AI380" s="27"/>
    </row>
    <row r="381" spans="24:35" ht="15.75" customHeight="1" x14ac:dyDescent="0.35">
      <c r="X381" s="26"/>
      <c r="AA381" s="27"/>
      <c r="AI381" s="27"/>
    </row>
    <row r="382" spans="24:35" ht="15.75" customHeight="1" x14ac:dyDescent="0.35">
      <c r="X382" s="26"/>
      <c r="AA382" s="27"/>
      <c r="AI382" s="27"/>
    </row>
    <row r="383" spans="24:35" ht="15.75" customHeight="1" x14ac:dyDescent="0.35">
      <c r="X383" s="26"/>
      <c r="AA383" s="27"/>
      <c r="AI383" s="27"/>
    </row>
    <row r="384" spans="24:35" ht="15.75" customHeight="1" x14ac:dyDescent="0.35">
      <c r="X384" s="26"/>
      <c r="AA384" s="27"/>
      <c r="AI384" s="27"/>
    </row>
    <row r="385" spans="24:35" ht="15.75" customHeight="1" x14ac:dyDescent="0.35">
      <c r="X385" s="26"/>
      <c r="AA385" s="27"/>
      <c r="AI385" s="27"/>
    </row>
    <row r="386" spans="24:35" ht="15.75" customHeight="1" x14ac:dyDescent="0.35">
      <c r="X386" s="26"/>
      <c r="AA386" s="27"/>
      <c r="AI386" s="27"/>
    </row>
    <row r="387" spans="24:35" ht="15.75" customHeight="1" x14ac:dyDescent="0.35">
      <c r="X387" s="26"/>
      <c r="AA387" s="27"/>
      <c r="AI387" s="27"/>
    </row>
    <row r="388" spans="24:35" ht="15.75" customHeight="1" x14ac:dyDescent="0.35">
      <c r="X388" s="26"/>
      <c r="AA388" s="27"/>
      <c r="AI388" s="27"/>
    </row>
    <row r="389" spans="24:35" ht="15.75" customHeight="1" x14ac:dyDescent="0.35">
      <c r="X389" s="26"/>
      <c r="AA389" s="27"/>
      <c r="AI389" s="27"/>
    </row>
    <row r="390" spans="24:35" ht="15.75" customHeight="1" x14ac:dyDescent="0.35">
      <c r="X390" s="26"/>
      <c r="AA390" s="27"/>
      <c r="AI390" s="27"/>
    </row>
    <row r="391" spans="24:35" ht="15.75" customHeight="1" x14ac:dyDescent="0.35">
      <c r="X391" s="26"/>
      <c r="AA391" s="27"/>
      <c r="AI391" s="27"/>
    </row>
    <row r="392" spans="24:35" ht="15.75" customHeight="1" x14ac:dyDescent="0.35">
      <c r="X392" s="26"/>
      <c r="AA392" s="27"/>
      <c r="AI392" s="27"/>
    </row>
    <row r="393" spans="24:35" ht="15.75" customHeight="1" x14ac:dyDescent="0.35">
      <c r="X393" s="26"/>
      <c r="AA393" s="27"/>
      <c r="AI393" s="27"/>
    </row>
    <row r="394" spans="24:35" ht="15.75" customHeight="1" x14ac:dyDescent="0.35">
      <c r="X394" s="26"/>
      <c r="AA394" s="27"/>
      <c r="AI394" s="27"/>
    </row>
    <row r="395" spans="24:35" ht="15.75" customHeight="1" x14ac:dyDescent="0.35">
      <c r="X395" s="26"/>
      <c r="AA395" s="27"/>
      <c r="AI395" s="27"/>
    </row>
    <row r="396" spans="24:35" ht="15.75" customHeight="1" x14ac:dyDescent="0.35">
      <c r="X396" s="26"/>
      <c r="AA396" s="27"/>
      <c r="AI396" s="27"/>
    </row>
    <row r="397" spans="24:35" ht="15.75" customHeight="1" x14ac:dyDescent="0.35">
      <c r="X397" s="26"/>
      <c r="AA397" s="27"/>
      <c r="AI397" s="27"/>
    </row>
    <row r="398" spans="24:35" ht="15.75" customHeight="1" x14ac:dyDescent="0.35">
      <c r="X398" s="26"/>
      <c r="AA398" s="27"/>
      <c r="AI398" s="27"/>
    </row>
    <row r="399" spans="24:35" ht="15.75" customHeight="1" x14ac:dyDescent="0.35">
      <c r="X399" s="26"/>
      <c r="AA399" s="27"/>
      <c r="AI399" s="27"/>
    </row>
    <row r="400" spans="24:35" ht="15.75" customHeight="1" x14ac:dyDescent="0.35">
      <c r="X400" s="26"/>
      <c r="AA400" s="27"/>
      <c r="AI400" s="27"/>
    </row>
    <row r="401" spans="24:35" ht="15.75" customHeight="1" x14ac:dyDescent="0.35">
      <c r="X401" s="26"/>
      <c r="AA401" s="27"/>
      <c r="AI401" s="27"/>
    </row>
    <row r="402" spans="24:35" ht="15.75" customHeight="1" x14ac:dyDescent="0.35">
      <c r="X402" s="26"/>
      <c r="AA402" s="27"/>
      <c r="AI402" s="27"/>
    </row>
    <row r="403" spans="24:35" ht="15.75" customHeight="1" x14ac:dyDescent="0.35">
      <c r="X403" s="26"/>
      <c r="AA403" s="27"/>
      <c r="AI403" s="27"/>
    </row>
    <row r="404" spans="24:35" ht="15.75" customHeight="1" x14ac:dyDescent="0.35">
      <c r="X404" s="26"/>
      <c r="AA404" s="27"/>
      <c r="AI404" s="27"/>
    </row>
    <row r="405" spans="24:35" ht="15.75" customHeight="1" x14ac:dyDescent="0.35">
      <c r="X405" s="26"/>
      <c r="AA405" s="27"/>
      <c r="AI405" s="27"/>
    </row>
    <row r="406" spans="24:35" ht="15.75" customHeight="1" x14ac:dyDescent="0.35">
      <c r="X406" s="26"/>
      <c r="AA406" s="27"/>
      <c r="AI406" s="27"/>
    </row>
    <row r="407" spans="24:35" ht="15.75" customHeight="1" x14ac:dyDescent="0.35">
      <c r="X407" s="26"/>
      <c r="AA407" s="27"/>
      <c r="AI407" s="27"/>
    </row>
    <row r="408" spans="24:35" ht="15.75" customHeight="1" x14ac:dyDescent="0.35">
      <c r="X408" s="26"/>
      <c r="AA408" s="27"/>
      <c r="AI408" s="27"/>
    </row>
    <row r="409" spans="24:35" ht="15.75" customHeight="1" x14ac:dyDescent="0.35">
      <c r="X409" s="26"/>
      <c r="AA409" s="27"/>
      <c r="AI409" s="27"/>
    </row>
    <row r="410" spans="24:35" ht="15.75" customHeight="1" x14ac:dyDescent="0.35">
      <c r="X410" s="26"/>
      <c r="AA410" s="27"/>
      <c r="AI410" s="27"/>
    </row>
    <row r="411" spans="24:35" ht="15.75" customHeight="1" x14ac:dyDescent="0.35">
      <c r="X411" s="26"/>
      <c r="AA411" s="27"/>
      <c r="AI411" s="27"/>
    </row>
    <row r="412" spans="24:35" ht="15.75" customHeight="1" x14ac:dyDescent="0.35">
      <c r="X412" s="26"/>
      <c r="AA412" s="27"/>
      <c r="AI412" s="27"/>
    </row>
    <row r="413" spans="24:35" ht="15.75" customHeight="1" x14ac:dyDescent="0.35">
      <c r="X413" s="26"/>
      <c r="AA413" s="27"/>
      <c r="AI413" s="27"/>
    </row>
    <row r="414" spans="24:35" ht="15.75" customHeight="1" x14ac:dyDescent="0.35">
      <c r="X414" s="26"/>
      <c r="AA414" s="27"/>
      <c r="AI414" s="27"/>
    </row>
    <row r="415" spans="24:35" ht="15.75" customHeight="1" x14ac:dyDescent="0.35">
      <c r="X415" s="26"/>
      <c r="AA415" s="27"/>
      <c r="AI415" s="27"/>
    </row>
    <row r="416" spans="24:35" ht="15.75" customHeight="1" x14ac:dyDescent="0.35">
      <c r="X416" s="26"/>
      <c r="AA416" s="27"/>
      <c r="AI416" s="27"/>
    </row>
    <row r="417" spans="24:35" ht="15.75" customHeight="1" x14ac:dyDescent="0.35">
      <c r="X417" s="26"/>
      <c r="AA417" s="27"/>
      <c r="AI417" s="27"/>
    </row>
    <row r="418" spans="24:35" ht="15.75" customHeight="1" x14ac:dyDescent="0.35">
      <c r="X418" s="26"/>
      <c r="AA418" s="27"/>
      <c r="AI418" s="27"/>
    </row>
    <row r="419" spans="24:35" ht="15.75" customHeight="1" x14ac:dyDescent="0.35">
      <c r="X419" s="26"/>
      <c r="AA419" s="27"/>
      <c r="AI419" s="27"/>
    </row>
    <row r="420" spans="24:35" ht="15.75" customHeight="1" x14ac:dyDescent="0.35">
      <c r="X420" s="26"/>
      <c r="AA420" s="27"/>
      <c r="AI420" s="27"/>
    </row>
    <row r="421" spans="24:35" ht="15.75" customHeight="1" x14ac:dyDescent="0.35">
      <c r="X421" s="26"/>
      <c r="AA421" s="27"/>
      <c r="AI421" s="27"/>
    </row>
    <row r="422" spans="24:35" ht="15.75" customHeight="1" x14ac:dyDescent="0.35">
      <c r="X422" s="26"/>
      <c r="AA422" s="27"/>
      <c r="AI422" s="27"/>
    </row>
    <row r="423" spans="24:35" ht="15.75" customHeight="1" x14ac:dyDescent="0.35">
      <c r="X423" s="26"/>
      <c r="AA423" s="27"/>
      <c r="AI423" s="27"/>
    </row>
    <row r="424" spans="24:35" ht="15.75" customHeight="1" x14ac:dyDescent="0.35">
      <c r="X424" s="26"/>
      <c r="AA424" s="27"/>
      <c r="AI424" s="27"/>
    </row>
    <row r="425" spans="24:35" ht="15.75" customHeight="1" x14ac:dyDescent="0.35">
      <c r="X425" s="26"/>
      <c r="AA425" s="27"/>
      <c r="AI425" s="27"/>
    </row>
    <row r="426" spans="24:35" ht="15.75" customHeight="1" x14ac:dyDescent="0.35">
      <c r="X426" s="26"/>
      <c r="AA426" s="27"/>
      <c r="AI426" s="27"/>
    </row>
    <row r="427" spans="24:35" ht="15.75" customHeight="1" x14ac:dyDescent="0.35">
      <c r="X427" s="26"/>
      <c r="AA427" s="27"/>
      <c r="AI427" s="27"/>
    </row>
    <row r="428" spans="24:35" ht="15.75" customHeight="1" x14ac:dyDescent="0.35">
      <c r="X428" s="26"/>
      <c r="AA428" s="27"/>
      <c r="AI428" s="27"/>
    </row>
    <row r="429" spans="24:35" ht="15.75" customHeight="1" x14ac:dyDescent="0.35">
      <c r="X429" s="26"/>
      <c r="AA429" s="27"/>
      <c r="AI429" s="27"/>
    </row>
    <row r="430" spans="24:35" ht="15.75" customHeight="1" x14ac:dyDescent="0.35">
      <c r="X430" s="26"/>
      <c r="AA430" s="27"/>
      <c r="AI430" s="27"/>
    </row>
    <row r="431" spans="24:35" ht="15.75" customHeight="1" x14ac:dyDescent="0.35">
      <c r="X431" s="26"/>
      <c r="AA431" s="27"/>
      <c r="AI431" s="27"/>
    </row>
    <row r="432" spans="24:35" ht="15.75" customHeight="1" x14ac:dyDescent="0.35">
      <c r="X432" s="26"/>
      <c r="AA432" s="27"/>
      <c r="AI432" s="27"/>
    </row>
    <row r="433" spans="24:35" ht="15.75" customHeight="1" x14ac:dyDescent="0.35">
      <c r="X433" s="26"/>
      <c r="AA433" s="27"/>
      <c r="AI433" s="27"/>
    </row>
    <row r="434" spans="24:35" ht="15.75" customHeight="1" x14ac:dyDescent="0.35">
      <c r="X434" s="26"/>
      <c r="AA434" s="27"/>
      <c r="AI434" s="27"/>
    </row>
    <row r="435" spans="24:35" ht="15.75" customHeight="1" x14ac:dyDescent="0.35">
      <c r="X435" s="26"/>
      <c r="AA435" s="27"/>
      <c r="AI435" s="27"/>
    </row>
    <row r="436" spans="24:35" ht="15.75" customHeight="1" x14ac:dyDescent="0.35">
      <c r="X436" s="26"/>
      <c r="AA436" s="27"/>
      <c r="AI436" s="27"/>
    </row>
    <row r="437" spans="24:35" ht="15.75" customHeight="1" x14ac:dyDescent="0.35">
      <c r="X437" s="26"/>
      <c r="AA437" s="27"/>
      <c r="AI437" s="27"/>
    </row>
    <row r="438" spans="24:35" ht="15.75" customHeight="1" x14ac:dyDescent="0.35">
      <c r="X438" s="26"/>
      <c r="AA438" s="27"/>
      <c r="AI438" s="27"/>
    </row>
    <row r="439" spans="24:35" ht="15.75" customHeight="1" x14ac:dyDescent="0.35">
      <c r="X439" s="26"/>
      <c r="AA439" s="27"/>
      <c r="AI439" s="27"/>
    </row>
    <row r="440" spans="24:35" ht="15.75" customHeight="1" x14ac:dyDescent="0.35">
      <c r="X440" s="26"/>
      <c r="AA440" s="27"/>
      <c r="AI440" s="27"/>
    </row>
    <row r="441" spans="24:35" ht="15.75" customHeight="1" x14ac:dyDescent="0.35">
      <c r="X441" s="26"/>
      <c r="AA441" s="27"/>
      <c r="AI441" s="27"/>
    </row>
    <row r="442" spans="24:35" ht="15.75" customHeight="1" x14ac:dyDescent="0.35">
      <c r="X442" s="26"/>
      <c r="AA442" s="27"/>
      <c r="AI442" s="27"/>
    </row>
    <row r="443" spans="24:35" ht="15.75" customHeight="1" x14ac:dyDescent="0.35">
      <c r="X443" s="26"/>
      <c r="AA443" s="27"/>
      <c r="AI443" s="27"/>
    </row>
    <row r="444" spans="24:35" ht="15.75" customHeight="1" x14ac:dyDescent="0.35">
      <c r="X444" s="26"/>
      <c r="AA444" s="27"/>
      <c r="AI444" s="27"/>
    </row>
    <row r="445" spans="24:35" ht="15.75" customHeight="1" x14ac:dyDescent="0.35">
      <c r="X445" s="26"/>
      <c r="AA445" s="27"/>
      <c r="AI445" s="27"/>
    </row>
    <row r="446" spans="24:35" ht="15.75" customHeight="1" x14ac:dyDescent="0.35">
      <c r="X446" s="26"/>
      <c r="AA446" s="27"/>
      <c r="AI446" s="27"/>
    </row>
    <row r="447" spans="24:35" ht="15.75" customHeight="1" x14ac:dyDescent="0.35">
      <c r="X447" s="26"/>
      <c r="AA447" s="27"/>
      <c r="AI447" s="27"/>
    </row>
    <row r="448" spans="24:35" ht="15.75" customHeight="1" x14ac:dyDescent="0.35">
      <c r="X448" s="26"/>
      <c r="AA448" s="27"/>
      <c r="AI448" s="27"/>
    </row>
    <row r="449" spans="24:35" ht="15.75" customHeight="1" x14ac:dyDescent="0.35">
      <c r="X449" s="26"/>
      <c r="AA449" s="27"/>
      <c r="AI449" s="27"/>
    </row>
    <row r="450" spans="24:35" ht="15.75" customHeight="1" x14ac:dyDescent="0.35">
      <c r="X450" s="26"/>
      <c r="AA450" s="27"/>
      <c r="AI450" s="27"/>
    </row>
    <row r="451" spans="24:35" ht="15.75" customHeight="1" x14ac:dyDescent="0.35">
      <c r="X451" s="26"/>
      <c r="AA451" s="27"/>
      <c r="AI451" s="27"/>
    </row>
    <row r="452" spans="24:35" ht="15.75" customHeight="1" x14ac:dyDescent="0.35">
      <c r="X452" s="26"/>
      <c r="AA452" s="27"/>
      <c r="AI452" s="27"/>
    </row>
    <row r="453" spans="24:35" ht="15.75" customHeight="1" x14ac:dyDescent="0.35">
      <c r="X453" s="26"/>
      <c r="AA453" s="27"/>
      <c r="AI453" s="27"/>
    </row>
    <row r="454" spans="24:35" ht="15.75" customHeight="1" x14ac:dyDescent="0.35">
      <c r="X454" s="26"/>
      <c r="AA454" s="27"/>
      <c r="AI454" s="27"/>
    </row>
    <row r="455" spans="24:35" ht="15.75" customHeight="1" x14ac:dyDescent="0.35">
      <c r="X455" s="26"/>
      <c r="AA455" s="27"/>
      <c r="AI455" s="27"/>
    </row>
    <row r="456" spans="24:35" ht="15.75" customHeight="1" x14ac:dyDescent="0.35">
      <c r="X456" s="26"/>
      <c r="AA456" s="27"/>
      <c r="AI456" s="27"/>
    </row>
    <row r="457" spans="24:35" ht="15.75" customHeight="1" x14ac:dyDescent="0.35">
      <c r="X457" s="26"/>
      <c r="AA457" s="27"/>
      <c r="AI457" s="27"/>
    </row>
    <row r="458" spans="24:35" ht="15.75" customHeight="1" x14ac:dyDescent="0.35">
      <c r="X458" s="26"/>
      <c r="AA458" s="27"/>
      <c r="AI458" s="27"/>
    </row>
    <row r="459" spans="24:35" ht="15.75" customHeight="1" x14ac:dyDescent="0.35">
      <c r="X459" s="26"/>
      <c r="AA459" s="27"/>
      <c r="AI459" s="27"/>
    </row>
    <row r="460" spans="24:35" ht="15.75" customHeight="1" x14ac:dyDescent="0.35">
      <c r="X460" s="26"/>
      <c r="AA460" s="27"/>
      <c r="AI460" s="27"/>
    </row>
    <row r="461" spans="24:35" ht="15.75" customHeight="1" x14ac:dyDescent="0.35">
      <c r="X461" s="26"/>
      <c r="AA461" s="27"/>
      <c r="AI461" s="27"/>
    </row>
    <row r="462" spans="24:35" ht="15.75" customHeight="1" x14ac:dyDescent="0.35">
      <c r="X462" s="26"/>
      <c r="AA462" s="27"/>
      <c r="AI462" s="27"/>
    </row>
    <row r="463" spans="24:35" ht="15.75" customHeight="1" x14ac:dyDescent="0.35">
      <c r="X463" s="26"/>
      <c r="AA463" s="27"/>
      <c r="AI463" s="27"/>
    </row>
    <row r="464" spans="24:35" ht="15.75" customHeight="1" x14ac:dyDescent="0.35">
      <c r="X464" s="26"/>
      <c r="AA464" s="27"/>
      <c r="AI464" s="27"/>
    </row>
    <row r="465" spans="24:35" ht="15.75" customHeight="1" x14ac:dyDescent="0.35">
      <c r="X465" s="26"/>
      <c r="AA465" s="27"/>
      <c r="AI465" s="27"/>
    </row>
    <row r="466" spans="24:35" ht="15.75" customHeight="1" x14ac:dyDescent="0.35">
      <c r="X466" s="26"/>
      <c r="AA466" s="27"/>
      <c r="AI466" s="27"/>
    </row>
    <row r="467" spans="24:35" ht="15.75" customHeight="1" x14ac:dyDescent="0.35">
      <c r="X467" s="26"/>
      <c r="AA467" s="27"/>
      <c r="AI467" s="27"/>
    </row>
    <row r="468" spans="24:35" ht="15.75" customHeight="1" x14ac:dyDescent="0.35">
      <c r="X468" s="26"/>
      <c r="AA468" s="27"/>
      <c r="AI468" s="27"/>
    </row>
    <row r="469" spans="24:35" ht="15.75" customHeight="1" x14ac:dyDescent="0.35">
      <c r="X469" s="26"/>
      <c r="AA469" s="27"/>
      <c r="AI469" s="27"/>
    </row>
    <row r="470" spans="24:35" ht="15.75" customHeight="1" x14ac:dyDescent="0.35">
      <c r="X470" s="26"/>
      <c r="AA470" s="27"/>
      <c r="AI470" s="27"/>
    </row>
    <row r="471" spans="24:35" ht="15.75" customHeight="1" x14ac:dyDescent="0.35">
      <c r="X471" s="26"/>
      <c r="AA471" s="27"/>
      <c r="AI471" s="27"/>
    </row>
    <row r="472" spans="24:35" ht="15.75" customHeight="1" x14ac:dyDescent="0.35">
      <c r="X472" s="26"/>
      <c r="AA472" s="27"/>
      <c r="AI472" s="27"/>
    </row>
    <row r="473" spans="24:35" ht="15.75" customHeight="1" x14ac:dyDescent="0.35">
      <c r="X473" s="26"/>
      <c r="AA473" s="27"/>
      <c r="AI473" s="27"/>
    </row>
    <row r="474" spans="24:35" ht="15.75" customHeight="1" x14ac:dyDescent="0.35">
      <c r="X474" s="26"/>
      <c r="AA474" s="27"/>
      <c r="AI474" s="27"/>
    </row>
    <row r="475" spans="24:35" ht="15.75" customHeight="1" x14ac:dyDescent="0.35">
      <c r="X475" s="26"/>
      <c r="AA475" s="27"/>
      <c r="AI475" s="27"/>
    </row>
    <row r="476" spans="24:35" ht="15.75" customHeight="1" x14ac:dyDescent="0.35">
      <c r="X476" s="26"/>
      <c r="AA476" s="27"/>
      <c r="AI476" s="27"/>
    </row>
    <row r="477" spans="24:35" ht="15.75" customHeight="1" x14ac:dyDescent="0.35">
      <c r="X477" s="26"/>
      <c r="AA477" s="27"/>
      <c r="AI477" s="27"/>
    </row>
    <row r="478" spans="24:35" ht="15.75" customHeight="1" x14ac:dyDescent="0.35">
      <c r="X478" s="26"/>
      <c r="AA478" s="27"/>
      <c r="AI478" s="27"/>
    </row>
    <row r="479" spans="24:35" ht="15.75" customHeight="1" x14ac:dyDescent="0.35">
      <c r="X479" s="26"/>
      <c r="AA479" s="27"/>
      <c r="AI479" s="27"/>
    </row>
    <row r="480" spans="24:35" ht="15.75" customHeight="1" x14ac:dyDescent="0.35">
      <c r="X480" s="26"/>
      <c r="AA480" s="27"/>
      <c r="AI480" s="27"/>
    </row>
    <row r="481" spans="24:35" ht="15.75" customHeight="1" x14ac:dyDescent="0.35">
      <c r="X481" s="26"/>
      <c r="AA481" s="27"/>
      <c r="AI481" s="27"/>
    </row>
    <row r="482" spans="24:35" ht="15.75" customHeight="1" x14ac:dyDescent="0.35">
      <c r="X482" s="26"/>
      <c r="AA482" s="27"/>
      <c r="AI482" s="27"/>
    </row>
    <row r="483" spans="24:35" ht="15.75" customHeight="1" x14ac:dyDescent="0.35">
      <c r="X483" s="26"/>
      <c r="AA483" s="27"/>
      <c r="AI483" s="27"/>
    </row>
    <row r="484" spans="24:35" ht="15.75" customHeight="1" x14ac:dyDescent="0.35">
      <c r="X484" s="26"/>
      <c r="AA484" s="27"/>
      <c r="AI484" s="27"/>
    </row>
    <row r="485" spans="24:35" ht="15.75" customHeight="1" x14ac:dyDescent="0.35">
      <c r="X485" s="26"/>
      <c r="AA485" s="27"/>
      <c r="AI485" s="27"/>
    </row>
    <row r="486" spans="24:35" ht="15.75" customHeight="1" x14ac:dyDescent="0.35">
      <c r="X486" s="26"/>
      <c r="AA486" s="27"/>
      <c r="AI486" s="27"/>
    </row>
    <row r="487" spans="24:35" ht="15.75" customHeight="1" x14ac:dyDescent="0.35">
      <c r="X487" s="26"/>
      <c r="AA487" s="27"/>
      <c r="AI487" s="27"/>
    </row>
    <row r="488" spans="24:35" ht="15.75" customHeight="1" x14ac:dyDescent="0.35">
      <c r="X488" s="26"/>
      <c r="AA488" s="27"/>
      <c r="AI488" s="27"/>
    </row>
    <row r="489" spans="24:35" ht="15.75" customHeight="1" x14ac:dyDescent="0.35">
      <c r="X489" s="26"/>
      <c r="AA489" s="27"/>
      <c r="AI489" s="27"/>
    </row>
    <row r="490" spans="24:35" ht="15.75" customHeight="1" x14ac:dyDescent="0.35">
      <c r="X490" s="26"/>
      <c r="AA490" s="27"/>
      <c r="AI490" s="27"/>
    </row>
    <row r="491" spans="24:35" ht="15.75" customHeight="1" x14ac:dyDescent="0.35">
      <c r="X491" s="26"/>
      <c r="AA491" s="27"/>
      <c r="AI491" s="27"/>
    </row>
    <row r="492" spans="24:35" ht="15.75" customHeight="1" x14ac:dyDescent="0.35">
      <c r="X492" s="26"/>
      <c r="AA492" s="27"/>
      <c r="AI492" s="27"/>
    </row>
    <row r="493" spans="24:35" ht="15.75" customHeight="1" x14ac:dyDescent="0.35">
      <c r="X493" s="26"/>
      <c r="AA493" s="27"/>
      <c r="AI493" s="27"/>
    </row>
    <row r="494" spans="24:35" ht="15.75" customHeight="1" x14ac:dyDescent="0.35">
      <c r="X494" s="26"/>
      <c r="AA494" s="27"/>
      <c r="AI494" s="27"/>
    </row>
    <row r="495" spans="24:35" ht="15.75" customHeight="1" x14ac:dyDescent="0.35">
      <c r="X495" s="26"/>
      <c r="AA495" s="27"/>
      <c r="AI495" s="27"/>
    </row>
    <row r="496" spans="24:35" ht="15.75" customHeight="1" x14ac:dyDescent="0.35">
      <c r="X496" s="26"/>
      <c r="AA496" s="27"/>
      <c r="AI496" s="27"/>
    </row>
    <row r="497" spans="24:35" ht="15.75" customHeight="1" x14ac:dyDescent="0.35">
      <c r="X497" s="26"/>
      <c r="AA497" s="27"/>
      <c r="AI497" s="27"/>
    </row>
    <row r="498" spans="24:35" ht="15.75" customHeight="1" x14ac:dyDescent="0.35">
      <c r="X498" s="26"/>
      <c r="AA498" s="27"/>
      <c r="AI498" s="27"/>
    </row>
    <row r="499" spans="24:35" ht="15.75" customHeight="1" x14ac:dyDescent="0.35">
      <c r="X499" s="26"/>
      <c r="AA499" s="27"/>
      <c r="AI499" s="27"/>
    </row>
    <row r="500" spans="24:35" ht="15.75" customHeight="1" x14ac:dyDescent="0.35">
      <c r="X500" s="26"/>
      <c r="AA500" s="27"/>
      <c r="AI500" s="27"/>
    </row>
    <row r="501" spans="24:35" ht="15.75" customHeight="1" x14ac:dyDescent="0.35">
      <c r="X501" s="26"/>
      <c r="AA501" s="27"/>
      <c r="AI501" s="27"/>
    </row>
    <row r="502" spans="24:35" ht="15.75" customHeight="1" x14ac:dyDescent="0.35">
      <c r="X502" s="26"/>
      <c r="AA502" s="27"/>
      <c r="AI502" s="27"/>
    </row>
    <row r="503" spans="24:35" ht="15.75" customHeight="1" x14ac:dyDescent="0.35">
      <c r="X503" s="26"/>
      <c r="AA503" s="27"/>
      <c r="AI503" s="27"/>
    </row>
    <row r="504" spans="24:35" ht="15.75" customHeight="1" x14ac:dyDescent="0.35">
      <c r="X504" s="26"/>
      <c r="AA504" s="27"/>
      <c r="AI504" s="27"/>
    </row>
    <row r="505" spans="24:35" ht="15.75" customHeight="1" x14ac:dyDescent="0.35">
      <c r="X505" s="26"/>
      <c r="AA505" s="27"/>
      <c r="AI505" s="27"/>
    </row>
    <row r="506" spans="24:35" ht="15.75" customHeight="1" x14ac:dyDescent="0.35">
      <c r="X506" s="26"/>
      <c r="AA506" s="27"/>
      <c r="AI506" s="27"/>
    </row>
    <row r="507" spans="24:35" ht="15.75" customHeight="1" x14ac:dyDescent="0.35">
      <c r="X507" s="26"/>
      <c r="AA507" s="27"/>
      <c r="AI507" s="27"/>
    </row>
    <row r="508" spans="24:35" ht="15.75" customHeight="1" x14ac:dyDescent="0.35">
      <c r="X508" s="26"/>
      <c r="AA508" s="27"/>
      <c r="AI508" s="27"/>
    </row>
    <row r="509" spans="24:35" ht="15.75" customHeight="1" x14ac:dyDescent="0.35">
      <c r="X509" s="26"/>
      <c r="AA509" s="27"/>
      <c r="AI509" s="27"/>
    </row>
    <row r="510" spans="24:35" ht="15.75" customHeight="1" x14ac:dyDescent="0.35">
      <c r="X510" s="26"/>
      <c r="AA510" s="27"/>
      <c r="AI510" s="27"/>
    </row>
    <row r="511" spans="24:35" ht="15.75" customHeight="1" x14ac:dyDescent="0.35">
      <c r="X511" s="26"/>
      <c r="AA511" s="27"/>
      <c r="AI511" s="27"/>
    </row>
    <row r="512" spans="24:35" ht="15.75" customHeight="1" x14ac:dyDescent="0.35">
      <c r="X512" s="26"/>
      <c r="AA512" s="27"/>
      <c r="AI512" s="27"/>
    </row>
    <row r="513" spans="24:35" ht="15.75" customHeight="1" x14ac:dyDescent="0.35">
      <c r="X513" s="26"/>
      <c r="AA513" s="27"/>
      <c r="AI513" s="27"/>
    </row>
    <row r="514" spans="24:35" ht="15.75" customHeight="1" x14ac:dyDescent="0.35">
      <c r="X514" s="26"/>
      <c r="AA514" s="27"/>
      <c r="AI514" s="27"/>
    </row>
    <row r="515" spans="24:35" ht="15.75" customHeight="1" x14ac:dyDescent="0.35">
      <c r="X515" s="26"/>
      <c r="AA515" s="27"/>
      <c r="AI515" s="27"/>
    </row>
    <row r="516" spans="24:35" ht="15.75" customHeight="1" x14ac:dyDescent="0.35">
      <c r="X516" s="26"/>
      <c r="AA516" s="27"/>
      <c r="AI516" s="27"/>
    </row>
    <row r="517" spans="24:35" ht="15.75" customHeight="1" x14ac:dyDescent="0.35">
      <c r="X517" s="26"/>
      <c r="AA517" s="27"/>
      <c r="AI517" s="27"/>
    </row>
    <row r="518" spans="24:35" ht="15.75" customHeight="1" x14ac:dyDescent="0.35">
      <c r="X518" s="26"/>
      <c r="AA518" s="27"/>
      <c r="AI518" s="27"/>
    </row>
    <row r="519" spans="24:35" ht="15.75" customHeight="1" x14ac:dyDescent="0.35">
      <c r="X519" s="26"/>
      <c r="AA519" s="27"/>
      <c r="AI519" s="27"/>
    </row>
    <row r="520" spans="24:35" ht="15.75" customHeight="1" x14ac:dyDescent="0.35">
      <c r="X520" s="26"/>
      <c r="AA520" s="27"/>
      <c r="AI520" s="27"/>
    </row>
    <row r="521" spans="24:35" ht="15.75" customHeight="1" x14ac:dyDescent="0.35">
      <c r="X521" s="26"/>
      <c r="AA521" s="27"/>
      <c r="AI521" s="27"/>
    </row>
    <row r="522" spans="24:35" ht="15.75" customHeight="1" x14ac:dyDescent="0.35">
      <c r="X522" s="26"/>
      <c r="AA522" s="27"/>
      <c r="AI522" s="27"/>
    </row>
    <row r="523" spans="24:35" ht="15.75" customHeight="1" x14ac:dyDescent="0.35">
      <c r="X523" s="26"/>
      <c r="AA523" s="27"/>
      <c r="AI523" s="27"/>
    </row>
    <row r="524" spans="24:35" ht="15.75" customHeight="1" x14ac:dyDescent="0.35">
      <c r="X524" s="26"/>
      <c r="AA524" s="27"/>
      <c r="AI524" s="27"/>
    </row>
    <row r="525" spans="24:35" ht="15.75" customHeight="1" x14ac:dyDescent="0.35">
      <c r="X525" s="26"/>
      <c r="AA525" s="27"/>
      <c r="AI525" s="27"/>
    </row>
    <row r="526" spans="24:35" ht="15.75" customHeight="1" x14ac:dyDescent="0.35">
      <c r="X526" s="26"/>
      <c r="AA526" s="27"/>
      <c r="AI526" s="27"/>
    </row>
    <row r="527" spans="24:35" ht="15.75" customHeight="1" x14ac:dyDescent="0.35">
      <c r="X527" s="26"/>
      <c r="AA527" s="27"/>
      <c r="AI527" s="27"/>
    </row>
    <row r="528" spans="24:35" ht="15.75" customHeight="1" x14ac:dyDescent="0.35">
      <c r="X528" s="26"/>
      <c r="AA528" s="27"/>
      <c r="AI528" s="27"/>
    </row>
    <row r="529" spans="24:35" ht="15.75" customHeight="1" x14ac:dyDescent="0.35">
      <c r="X529" s="26"/>
      <c r="AA529" s="27"/>
      <c r="AI529" s="27"/>
    </row>
    <row r="530" spans="24:35" ht="15.75" customHeight="1" x14ac:dyDescent="0.35">
      <c r="X530" s="26"/>
      <c r="AA530" s="27"/>
      <c r="AI530" s="27"/>
    </row>
    <row r="531" spans="24:35" ht="15.75" customHeight="1" x14ac:dyDescent="0.35">
      <c r="X531" s="26"/>
      <c r="AA531" s="27"/>
      <c r="AI531" s="27"/>
    </row>
    <row r="532" spans="24:35" ht="15.75" customHeight="1" x14ac:dyDescent="0.35">
      <c r="X532" s="26"/>
      <c r="AA532" s="27"/>
      <c r="AI532" s="27"/>
    </row>
    <row r="533" spans="24:35" ht="15.75" customHeight="1" x14ac:dyDescent="0.35">
      <c r="X533" s="26"/>
      <c r="AA533" s="27"/>
      <c r="AI533" s="27"/>
    </row>
    <row r="534" spans="24:35" ht="15.75" customHeight="1" x14ac:dyDescent="0.35">
      <c r="X534" s="26"/>
      <c r="AA534" s="27"/>
      <c r="AI534" s="27"/>
    </row>
    <row r="535" spans="24:35" ht="15.75" customHeight="1" x14ac:dyDescent="0.35">
      <c r="X535" s="26"/>
      <c r="AA535" s="27"/>
      <c r="AI535" s="27"/>
    </row>
    <row r="536" spans="24:35" ht="15.75" customHeight="1" x14ac:dyDescent="0.35">
      <c r="X536" s="26"/>
      <c r="AA536" s="27"/>
      <c r="AI536" s="27"/>
    </row>
    <row r="537" spans="24:35" ht="15.75" customHeight="1" x14ac:dyDescent="0.35">
      <c r="X537" s="26"/>
      <c r="AA537" s="27"/>
      <c r="AI537" s="27"/>
    </row>
    <row r="538" spans="24:35" ht="15.75" customHeight="1" x14ac:dyDescent="0.35">
      <c r="X538" s="26"/>
      <c r="AA538" s="27"/>
      <c r="AI538" s="27"/>
    </row>
    <row r="539" spans="24:35" ht="15.75" customHeight="1" x14ac:dyDescent="0.35">
      <c r="X539" s="26"/>
      <c r="AA539" s="27"/>
      <c r="AI539" s="27"/>
    </row>
    <row r="540" spans="24:35" ht="15.75" customHeight="1" x14ac:dyDescent="0.35">
      <c r="X540" s="26"/>
      <c r="AA540" s="27"/>
      <c r="AI540" s="27"/>
    </row>
    <row r="541" spans="24:35" ht="15.75" customHeight="1" x14ac:dyDescent="0.35">
      <c r="X541" s="26"/>
      <c r="AA541" s="27"/>
      <c r="AI541" s="27"/>
    </row>
    <row r="542" spans="24:35" ht="15.75" customHeight="1" x14ac:dyDescent="0.35">
      <c r="X542" s="26"/>
      <c r="AA542" s="27"/>
      <c r="AI542" s="27"/>
    </row>
    <row r="543" spans="24:35" ht="15.75" customHeight="1" x14ac:dyDescent="0.35">
      <c r="X543" s="26"/>
      <c r="AA543" s="27"/>
      <c r="AI543" s="27"/>
    </row>
    <row r="544" spans="24:35" ht="15.75" customHeight="1" x14ac:dyDescent="0.35">
      <c r="X544" s="26"/>
      <c r="AA544" s="27"/>
      <c r="AI544" s="27"/>
    </row>
    <row r="545" spans="24:35" ht="15.75" customHeight="1" x14ac:dyDescent="0.35">
      <c r="X545" s="26"/>
      <c r="AA545" s="27"/>
      <c r="AI545" s="27"/>
    </row>
    <row r="546" spans="24:35" ht="15.75" customHeight="1" x14ac:dyDescent="0.35">
      <c r="X546" s="26"/>
      <c r="AA546" s="27"/>
      <c r="AI546" s="27"/>
    </row>
    <row r="547" spans="24:35" ht="15.75" customHeight="1" x14ac:dyDescent="0.35">
      <c r="X547" s="26"/>
      <c r="AA547" s="27"/>
      <c r="AI547" s="27"/>
    </row>
    <row r="548" spans="24:35" ht="15.75" customHeight="1" x14ac:dyDescent="0.35">
      <c r="X548" s="26"/>
      <c r="AA548" s="27"/>
      <c r="AI548" s="27"/>
    </row>
    <row r="549" spans="24:35" ht="15.75" customHeight="1" x14ac:dyDescent="0.35">
      <c r="X549" s="26"/>
      <c r="AA549" s="27"/>
      <c r="AI549" s="27"/>
    </row>
    <row r="550" spans="24:35" ht="15.75" customHeight="1" x14ac:dyDescent="0.35">
      <c r="X550" s="26"/>
      <c r="AA550" s="27"/>
      <c r="AI550" s="27"/>
    </row>
    <row r="551" spans="24:35" ht="15.75" customHeight="1" x14ac:dyDescent="0.35">
      <c r="X551" s="26"/>
      <c r="AA551" s="27"/>
      <c r="AI551" s="27"/>
    </row>
    <row r="552" spans="24:35" ht="15.75" customHeight="1" x14ac:dyDescent="0.35">
      <c r="X552" s="26"/>
      <c r="AA552" s="27"/>
      <c r="AI552" s="27"/>
    </row>
    <row r="553" spans="24:35" ht="15.75" customHeight="1" x14ac:dyDescent="0.35">
      <c r="X553" s="26"/>
      <c r="AA553" s="27"/>
      <c r="AI553" s="27"/>
    </row>
    <row r="554" spans="24:35" ht="15.75" customHeight="1" x14ac:dyDescent="0.35">
      <c r="X554" s="26"/>
      <c r="AA554" s="27"/>
      <c r="AI554" s="27"/>
    </row>
    <row r="555" spans="24:35" ht="15.75" customHeight="1" x14ac:dyDescent="0.35">
      <c r="X555" s="26"/>
      <c r="AA555" s="27"/>
      <c r="AI555" s="27"/>
    </row>
    <row r="556" spans="24:35" ht="15.75" customHeight="1" x14ac:dyDescent="0.35">
      <c r="X556" s="26"/>
      <c r="AA556" s="27"/>
      <c r="AI556" s="27"/>
    </row>
    <row r="557" spans="24:35" ht="15.75" customHeight="1" x14ac:dyDescent="0.35">
      <c r="X557" s="26"/>
      <c r="AA557" s="27"/>
      <c r="AI557" s="27"/>
    </row>
    <row r="558" spans="24:35" ht="15.75" customHeight="1" x14ac:dyDescent="0.35">
      <c r="X558" s="26"/>
      <c r="AA558" s="27"/>
      <c r="AI558" s="27"/>
    </row>
    <row r="559" spans="24:35" ht="15.75" customHeight="1" x14ac:dyDescent="0.35">
      <c r="X559" s="26"/>
      <c r="AA559" s="27"/>
      <c r="AI559" s="27"/>
    </row>
    <row r="560" spans="24:35" ht="15.75" customHeight="1" x14ac:dyDescent="0.35">
      <c r="X560" s="26"/>
      <c r="AA560" s="27"/>
      <c r="AI560" s="27"/>
    </row>
    <row r="561" spans="24:35" ht="15.75" customHeight="1" x14ac:dyDescent="0.35">
      <c r="X561" s="26"/>
      <c r="AA561" s="27"/>
      <c r="AI561" s="27"/>
    </row>
    <row r="562" spans="24:35" ht="15.75" customHeight="1" x14ac:dyDescent="0.35">
      <c r="X562" s="26"/>
      <c r="AA562" s="27"/>
      <c r="AI562" s="27"/>
    </row>
    <row r="563" spans="24:35" ht="15.75" customHeight="1" x14ac:dyDescent="0.35">
      <c r="X563" s="26"/>
      <c r="AA563" s="27"/>
      <c r="AI563" s="27"/>
    </row>
    <row r="564" spans="24:35" ht="15.75" customHeight="1" x14ac:dyDescent="0.35">
      <c r="X564" s="26"/>
      <c r="AA564" s="27"/>
      <c r="AI564" s="27"/>
    </row>
    <row r="565" spans="24:35" ht="15.75" customHeight="1" x14ac:dyDescent="0.35">
      <c r="X565" s="26"/>
      <c r="AA565" s="27"/>
      <c r="AI565" s="27"/>
    </row>
    <row r="566" spans="24:35" ht="15.75" customHeight="1" x14ac:dyDescent="0.35">
      <c r="X566" s="26"/>
      <c r="AA566" s="27"/>
      <c r="AI566" s="27"/>
    </row>
    <row r="567" spans="24:35" ht="15.75" customHeight="1" x14ac:dyDescent="0.35">
      <c r="X567" s="26"/>
      <c r="AA567" s="27"/>
      <c r="AI567" s="27"/>
    </row>
    <row r="568" spans="24:35" ht="15.75" customHeight="1" x14ac:dyDescent="0.35">
      <c r="X568" s="26"/>
      <c r="AA568" s="27"/>
      <c r="AI568" s="27"/>
    </row>
    <row r="569" spans="24:35" ht="15.75" customHeight="1" x14ac:dyDescent="0.35">
      <c r="X569" s="26"/>
      <c r="AA569" s="27"/>
      <c r="AI569" s="27"/>
    </row>
    <row r="570" spans="24:35" ht="15.75" customHeight="1" x14ac:dyDescent="0.35">
      <c r="X570" s="26"/>
      <c r="AA570" s="27"/>
      <c r="AI570" s="27"/>
    </row>
    <row r="571" spans="24:35" ht="15.75" customHeight="1" x14ac:dyDescent="0.35">
      <c r="X571" s="26"/>
      <c r="AA571" s="27"/>
      <c r="AI571" s="27"/>
    </row>
    <row r="572" spans="24:35" ht="15.75" customHeight="1" x14ac:dyDescent="0.35">
      <c r="X572" s="26"/>
      <c r="AA572" s="27"/>
      <c r="AI572" s="27"/>
    </row>
    <row r="573" spans="24:35" ht="15.75" customHeight="1" x14ac:dyDescent="0.35">
      <c r="X573" s="26"/>
      <c r="AA573" s="27"/>
      <c r="AI573" s="27"/>
    </row>
    <row r="574" spans="24:35" ht="15.75" customHeight="1" x14ac:dyDescent="0.35">
      <c r="X574" s="26"/>
      <c r="AA574" s="27"/>
      <c r="AI574" s="27"/>
    </row>
    <row r="575" spans="24:35" ht="15.75" customHeight="1" x14ac:dyDescent="0.35">
      <c r="X575" s="26"/>
      <c r="AA575" s="27"/>
      <c r="AI575" s="27"/>
    </row>
    <row r="576" spans="24:35" ht="15.75" customHeight="1" x14ac:dyDescent="0.35">
      <c r="X576" s="26"/>
      <c r="AA576" s="27"/>
      <c r="AI576" s="27"/>
    </row>
    <row r="577" spans="24:35" ht="15.75" customHeight="1" x14ac:dyDescent="0.35">
      <c r="X577" s="26"/>
      <c r="AA577" s="27"/>
      <c r="AI577" s="27"/>
    </row>
    <row r="578" spans="24:35" ht="15.75" customHeight="1" x14ac:dyDescent="0.35">
      <c r="X578" s="26"/>
      <c r="AA578" s="27"/>
      <c r="AI578" s="27"/>
    </row>
    <row r="579" spans="24:35" ht="15.75" customHeight="1" x14ac:dyDescent="0.35">
      <c r="X579" s="26"/>
      <c r="AA579" s="27"/>
      <c r="AI579" s="27"/>
    </row>
    <row r="580" spans="24:35" ht="15.75" customHeight="1" x14ac:dyDescent="0.35">
      <c r="X580" s="26"/>
      <c r="AA580" s="27"/>
      <c r="AI580" s="27"/>
    </row>
    <row r="581" spans="24:35" ht="15.75" customHeight="1" x14ac:dyDescent="0.35">
      <c r="X581" s="26"/>
      <c r="AA581" s="27"/>
      <c r="AI581" s="27"/>
    </row>
    <row r="582" spans="24:35" ht="15.75" customHeight="1" x14ac:dyDescent="0.35">
      <c r="X582" s="26"/>
      <c r="AA582" s="27"/>
      <c r="AI582" s="27"/>
    </row>
    <row r="583" spans="24:35" ht="15.75" customHeight="1" x14ac:dyDescent="0.35">
      <c r="X583" s="26"/>
      <c r="AA583" s="27"/>
      <c r="AI583" s="27"/>
    </row>
    <row r="584" spans="24:35" ht="15.75" customHeight="1" x14ac:dyDescent="0.35">
      <c r="X584" s="26"/>
      <c r="AA584" s="27"/>
      <c r="AI584" s="27"/>
    </row>
    <row r="585" spans="24:35" ht="15.75" customHeight="1" x14ac:dyDescent="0.35">
      <c r="X585" s="26"/>
      <c r="AA585" s="27"/>
      <c r="AI585" s="27"/>
    </row>
    <row r="586" spans="24:35" ht="15.75" customHeight="1" x14ac:dyDescent="0.35">
      <c r="X586" s="26"/>
      <c r="AA586" s="27"/>
      <c r="AI586" s="27"/>
    </row>
    <row r="587" spans="24:35" ht="15.75" customHeight="1" x14ac:dyDescent="0.35">
      <c r="X587" s="26"/>
      <c r="AA587" s="27"/>
      <c r="AI587" s="27"/>
    </row>
    <row r="588" spans="24:35" ht="15.75" customHeight="1" x14ac:dyDescent="0.35">
      <c r="X588" s="26"/>
      <c r="AA588" s="27"/>
      <c r="AI588" s="27"/>
    </row>
    <row r="589" spans="24:35" ht="15.75" customHeight="1" x14ac:dyDescent="0.35">
      <c r="X589" s="26"/>
      <c r="AA589" s="27"/>
      <c r="AI589" s="27"/>
    </row>
    <row r="590" spans="24:35" ht="15.75" customHeight="1" x14ac:dyDescent="0.35">
      <c r="X590" s="26"/>
      <c r="AA590" s="27"/>
      <c r="AI590" s="27"/>
    </row>
    <row r="591" spans="24:35" ht="15.75" customHeight="1" x14ac:dyDescent="0.35">
      <c r="X591" s="26"/>
      <c r="AA591" s="27"/>
      <c r="AI591" s="27"/>
    </row>
    <row r="592" spans="24:35" ht="15.75" customHeight="1" x14ac:dyDescent="0.35">
      <c r="X592" s="26"/>
      <c r="AA592" s="27"/>
      <c r="AI592" s="27"/>
    </row>
    <row r="593" spans="24:35" ht="15.75" customHeight="1" x14ac:dyDescent="0.35">
      <c r="X593" s="26"/>
      <c r="AA593" s="27"/>
      <c r="AI593" s="27"/>
    </row>
    <row r="594" spans="24:35" ht="15.75" customHeight="1" x14ac:dyDescent="0.35">
      <c r="X594" s="26"/>
      <c r="AA594" s="27"/>
      <c r="AI594" s="27"/>
    </row>
    <row r="595" spans="24:35" ht="15.75" customHeight="1" x14ac:dyDescent="0.35">
      <c r="X595" s="26"/>
      <c r="AA595" s="27"/>
      <c r="AI595" s="27"/>
    </row>
    <row r="596" spans="24:35" ht="15.75" customHeight="1" x14ac:dyDescent="0.35">
      <c r="X596" s="26"/>
      <c r="AA596" s="27"/>
      <c r="AI596" s="27"/>
    </row>
    <row r="597" spans="24:35" ht="15.75" customHeight="1" x14ac:dyDescent="0.35">
      <c r="X597" s="26"/>
      <c r="AA597" s="27"/>
      <c r="AI597" s="27"/>
    </row>
    <row r="598" spans="24:35" ht="15.75" customHeight="1" x14ac:dyDescent="0.35">
      <c r="X598" s="26"/>
      <c r="AA598" s="27"/>
      <c r="AI598" s="27"/>
    </row>
    <row r="599" spans="24:35" ht="15.75" customHeight="1" x14ac:dyDescent="0.35">
      <c r="X599" s="26"/>
      <c r="AA599" s="27"/>
      <c r="AI599" s="27"/>
    </row>
    <row r="600" spans="24:35" ht="15.75" customHeight="1" x14ac:dyDescent="0.35">
      <c r="X600" s="26"/>
      <c r="AA600" s="27"/>
      <c r="AI600" s="27"/>
    </row>
    <row r="601" spans="24:35" ht="15.75" customHeight="1" x14ac:dyDescent="0.35">
      <c r="X601" s="26"/>
      <c r="AA601" s="27"/>
      <c r="AI601" s="27"/>
    </row>
    <row r="602" spans="24:35" ht="15.75" customHeight="1" x14ac:dyDescent="0.35">
      <c r="X602" s="26"/>
      <c r="AA602" s="27"/>
      <c r="AI602" s="27"/>
    </row>
    <row r="603" spans="24:35" ht="15.75" customHeight="1" x14ac:dyDescent="0.35">
      <c r="X603" s="26"/>
      <c r="AA603" s="27"/>
      <c r="AI603" s="27"/>
    </row>
    <row r="604" spans="24:35" ht="15.75" customHeight="1" x14ac:dyDescent="0.35">
      <c r="X604" s="26"/>
      <c r="AA604" s="27"/>
      <c r="AI604" s="27"/>
    </row>
    <row r="605" spans="24:35" ht="15.75" customHeight="1" x14ac:dyDescent="0.35">
      <c r="X605" s="26"/>
      <c r="AA605" s="27"/>
      <c r="AI605" s="27"/>
    </row>
    <row r="606" spans="24:35" ht="15.75" customHeight="1" x14ac:dyDescent="0.35">
      <c r="X606" s="26"/>
      <c r="AA606" s="27"/>
      <c r="AI606" s="27"/>
    </row>
    <row r="607" spans="24:35" ht="15.75" customHeight="1" x14ac:dyDescent="0.35">
      <c r="X607" s="26"/>
      <c r="AA607" s="27"/>
      <c r="AI607" s="27"/>
    </row>
    <row r="608" spans="24:35" ht="15.75" customHeight="1" x14ac:dyDescent="0.35">
      <c r="X608" s="26"/>
      <c r="AA608" s="27"/>
      <c r="AI608" s="27"/>
    </row>
    <row r="609" spans="24:35" ht="15.75" customHeight="1" x14ac:dyDescent="0.35">
      <c r="X609" s="26"/>
      <c r="AA609" s="27"/>
      <c r="AI609" s="27"/>
    </row>
    <row r="610" spans="24:35" ht="15.75" customHeight="1" x14ac:dyDescent="0.35">
      <c r="X610" s="26"/>
      <c r="AA610" s="27"/>
      <c r="AI610" s="27"/>
    </row>
    <row r="611" spans="24:35" ht="15.75" customHeight="1" x14ac:dyDescent="0.35">
      <c r="X611" s="26"/>
      <c r="AA611" s="27"/>
      <c r="AI611" s="27"/>
    </row>
    <row r="612" spans="24:35" ht="15.75" customHeight="1" x14ac:dyDescent="0.35">
      <c r="X612" s="26"/>
      <c r="AA612" s="27"/>
      <c r="AI612" s="27"/>
    </row>
    <row r="613" spans="24:35" ht="15.75" customHeight="1" x14ac:dyDescent="0.35">
      <c r="X613" s="26"/>
      <c r="AA613" s="27"/>
      <c r="AI613" s="27"/>
    </row>
    <row r="614" spans="24:35" ht="15.75" customHeight="1" x14ac:dyDescent="0.35">
      <c r="X614" s="26"/>
      <c r="AA614" s="27"/>
      <c r="AI614" s="27"/>
    </row>
    <row r="615" spans="24:35" ht="15.75" customHeight="1" x14ac:dyDescent="0.35">
      <c r="X615" s="26"/>
      <c r="AA615" s="27"/>
      <c r="AI615" s="27"/>
    </row>
    <row r="616" spans="24:35" ht="15.75" customHeight="1" x14ac:dyDescent="0.35">
      <c r="X616" s="26"/>
      <c r="AA616" s="27"/>
      <c r="AI616" s="27"/>
    </row>
    <row r="617" spans="24:35" ht="15.75" customHeight="1" x14ac:dyDescent="0.35">
      <c r="X617" s="26"/>
      <c r="AA617" s="27"/>
      <c r="AI617" s="27"/>
    </row>
    <row r="618" spans="24:35" ht="15.75" customHeight="1" x14ac:dyDescent="0.35">
      <c r="X618" s="26"/>
      <c r="AA618" s="27"/>
      <c r="AI618" s="27"/>
    </row>
    <row r="619" spans="24:35" ht="15.75" customHeight="1" x14ac:dyDescent="0.35">
      <c r="X619" s="26"/>
      <c r="AA619" s="27"/>
      <c r="AI619" s="27"/>
    </row>
    <row r="620" spans="24:35" ht="15.75" customHeight="1" x14ac:dyDescent="0.35">
      <c r="X620" s="26"/>
      <c r="AA620" s="27"/>
      <c r="AI620" s="27"/>
    </row>
    <row r="621" spans="24:35" ht="15.75" customHeight="1" x14ac:dyDescent="0.35">
      <c r="X621" s="26"/>
      <c r="AA621" s="27"/>
      <c r="AI621" s="27"/>
    </row>
    <row r="622" spans="24:35" ht="15.75" customHeight="1" x14ac:dyDescent="0.35">
      <c r="X622" s="26"/>
      <c r="AA622" s="27"/>
      <c r="AI622" s="27"/>
    </row>
    <row r="623" spans="24:35" ht="15.75" customHeight="1" x14ac:dyDescent="0.35">
      <c r="X623" s="26"/>
      <c r="AA623" s="27"/>
      <c r="AI623" s="27"/>
    </row>
    <row r="624" spans="24:35" ht="15.75" customHeight="1" x14ac:dyDescent="0.35">
      <c r="X624" s="26"/>
      <c r="AA624" s="27"/>
      <c r="AI624" s="27"/>
    </row>
    <row r="625" spans="24:35" ht="15.75" customHeight="1" x14ac:dyDescent="0.35">
      <c r="X625" s="26"/>
      <c r="AA625" s="27"/>
      <c r="AI625" s="27"/>
    </row>
    <row r="626" spans="24:35" ht="15.75" customHeight="1" x14ac:dyDescent="0.35">
      <c r="X626" s="26"/>
      <c r="AA626" s="27"/>
      <c r="AI626" s="27"/>
    </row>
    <row r="627" spans="24:35" ht="15.75" customHeight="1" x14ac:dyDescent="0.35">
      <c r="X627" s="26"/>
      <c r="AA627" s="27"/>
      <c r="AI627" s="27"/>
    </row>
    <row r="628" spans="24:35" ht="15.75" customHeight="1" x14ac:dyDescent="0.35">
      <c r="X628" s="26"/>
      <c r="AA628" s="27"/>
      <c r="AI628" s="27"/>
    </row>
    <row r="629" spans="24:35" ht="15.75" customHeight="1" x14ac:dyDescent="0.35">
      <c r="X629" s="26"/>
      <c r="AA629" s="27"/>
      <c r="AI629" s="27"/>
    </row>
    <row r="630" spans="24:35" ht="15.75" customHeight="1" x14ac:dyDescent="0.35">
      <c r="X630" s="26"/>
      <c r="AA630" s="27"/>
      <c r="AI630" s="27"/>
    </row>
    <row r="631" spans="24:35" ht="15.75" customHeight="1" x14ac:dyDescent="0.35">
      <c r="X631" s="26"/>
      <c r="AA631" s="27"/>
      <c r="AI631" s="27"/>
    </row>
    <row r="632" spans="24:35" ht="15.75" customHeight="1" x14ac:dyDescent="0.35">
      <c r="X632" s="26"/>
      <c r="AA632" s="27"/>
      <c r="AI632" s="27"/>
    </row>
    <row r="633" spans="24:35" ht="15.75" customHeight="1" x14ac:dyDescent="0.35">
      <c r="X633" s="26"/>
      <c r="AA633" s="27"/>
      <c r="AI633" s="27"/>
    </row>
    <row r="634" spans="24:35" ht="15.75" customHeight="1" x14ac:dyDescent="0.35">
      <c r="X634" s="26"/>
      <c r="AA634" s="27"/>
      <c r="AI634" s="27"/>
    </row>
    <row r="635" spans="24:35" ht="15.75" customHeight="1" x14ac:dyDescent="0.35">
      <c r="X635" s="26"/>
      <c r="AA635" s="27"/>
      <c r="AI635" s="27"/>
    </row>
    <row r="636" spans="24:35" ht="15.75" customHeight="1" x14ac:dyDescent="0.35">
      <c r="X636" s="26"/>
      <c r="AA636" s="27"/>
      <c r="AI636" s="27"/>
    </row>
    <row r="637" spans="24:35" ht="15.75" customHeight="1" x14ac:dyDescent="0.35">
      <c r="X637" s="26"/>
      <c r="AA637" s="27"/>
      <c r="AI637" s="27"/>
    </row>
    <row r="638" spans="24:35" ht="15.75" customHeight="1" x14ac:dyDescent="0.35">
      <c r="X638" s="26"/>
      <c r="AA638" s="27"/>
      <c r="AI638" s="27"/>
    </row>
    <row r="639" spans="24:35" ht="15.75" customHeight="1" x14ac:dyDescent="0.35">
      <c r="X639" s="26"/>
      <c r="AA639" s="27"/>
      <c r="AI639" s="27"/>
    </row>
    <row r="640" spans="24:35" ht="15.75" customHeight="1" x14ac:dyDescent="0.35">
      <c r="X640" s="26"/>
      <c r="AA640" s="27"/>
      <c r="AI640" s="27"/>
    </row>
    <row r="641" spans="24:35" ht="15.75" customHeight="1" x14ac:dyDescent="0.35">
      <c r="X641" s="26"/>
      <c r="AA641" s="27"/>
      <c r="AI641" s="27"/>
    </row>
    <row r="642" spans="24:35" ht="15.75" customHeight="1" x14ac:dyDescent="0.35">
      <c r="X642" s="26"/>
      <c r="AA642" s="27"/>
      <c r="AI642" s="27"/>
    </row>
    <row r="643" spans="24:35" ht="15.75" customHeight="1" x14ac:dyDescent="0.35">
      <c r="X643" s="26"/>
      <c r="AA643" s="27"/>
      <c r="AI643" s="27"/>
    </row>
    <row r="644" spans="24:35" ht="15.75" customHeight="1" x14ac:dyDescent="0.35">
      <c r="X644" s="26"/>
      <c r="AA644" s="27"/>
      <c r="AI644" s="27"/>
    </row>
    <row r="645" spans="24:35" ht="15.75" customHeight="1" x14ac:dyDescent="0.35">
      <c r="X645" s="26"/>
      <c r="AA645" s="27"/>
      <c r="AI645" s="27"/>
    </row>
    <row r="646" spans="24:35" ht="15.75" customHeight="1" x14ac:dyDescent="0.35">
      <c r="X646" s="26"/>
      <c r="AA646" s="27"/>
      <c r="AI646" s="27"/>
    </row>
    <row r="647" spans="24:35" ht="15.75" customHeight="1" x14ac:dyDescent="0.35">
      <c r="X647" s="26"/>
      <c r="AA647" s="27"/>
      <c r="AI647" s="27"/>
    </row>
    <row r="648" spans="24:35" ht="15.75" customHeight="1" x14ac:dyDescent="0.35">
      <c r="X648" s="26"/>
      <c r="AA648" s="27"/>
      <c r="AI648" s="27"/>
    </row>
    <row r="649" spans="24:35" ht="15.75" customHeight="1" x14ac:dyDescent="0.35">
      <c r="X649" s="26"/>
      <c r="AA649" s="27"/>
      <c r="AI649" s="27"/>
    </row>
    <row r="650" spans="24:35" ht="15.75" customHeight="1" x14ac:dyDescent="0.35">
      <c r="X650" s="26"/>
      <c r="AA650" s="27"/>
      <c r="AI650" s="27"/>
    </row>
    <row r="651" spans="24:35" ht="15.75" customHeight="1" x14ac:dyDescent="0.35">
      <c r="X651" s="26"/>
      <c r="AA651" s="27"/>
      <c r="AI651" s="27"/>
    </row>
    <row r="652" spans="24:35" ht="15.75" customHeight="1" x14ac:dyDescent="0.35">
      <c r="X652" s="26"/>
      <c r="AA652" s="27"/>
      <c r="AI652" s="27"/>
    </row>
    <row r="653" spans="24:35" ht="15.75" customHeight="1" x14ac:dyDescent="0.35">
      <c r="X653" s="26"/>
      <c r="AA653" s="27"/>
      <c r="AI653" s="27"/>
    </row>
    <row r="654" spans="24:35" ht="15.75" customHeight="1" x14ac:dyDescent="0.35">
      <c r="X654" s="26"/>
      <c r="AA654" s="27"/>
      <c r="AI654" s="27"/>
    </row>
    <row r="655" spans="24:35" ht="15.75" customHeight="1" x14ac:dyDescent="0.35">
      <c r="X655" s="26"/>
      <c r="AA655" s="27"/>
      <c r="AI655" s="27"/>
    </row>
    <row r="656" spans="24:35" ht="15.75" customHeight="1" x14ac:dyDescent="0.35">
      <c r="X656" s="26"/>
      <c r="AA656" s="27"/>
      <c r="AI656" s="27"/>
    </row>
    <row r="657" spans="24:35" ht="15.75" customHeight="1" x14ac:dyDescent="0.35">
      <c r="X657" s="26"/>
      <c r="AA657" s="27"/>
      <c r="AI657" s="27"/>
    </row>
    <row r="658" spans="24:35" ht="15.75" customHeight="1" x14ac:dyDescent="0.35">
      <c r="X658" s="26"/>
      <c r="AA658" s="27"/>
      <c r="AI658" s="27"/>
    </row>
    <row r="659" spans="24:35" ht="15.75" customHeight="1" x14ac:dyDescent="0.35">
      <c r="X659" s="26"/>
      <c r="AA659" s="27"/>
      <c r="AI659" s="27"/>
    </row>
    <row r="660" spans="24:35" ht="15.75" customHeight="1" x14ac:dyDescent="0.35">
      <c r="X660" s="26"/>
      <c r="AA660" s="27"/>
      <c r="AI660" s="27"/>
    </row>
    <row r="661" spans="24:35" ht="15.75" customHeight="1" x14ac:dyDescent="0.35">
      <c r="X661" s="26"/>
      <c r="AA661" s="27"/>
      <c r="AI661" s="27"/>
    </row>
    <row r="662" spans="24:35" ht="15.75" customHeight="1" x14ac:dyDescent="0.35">
      <c r="X662" s="26"/>
      <c r="AA662" s="27"/>
      <c r="AI662" s="27"/>
    </row>
    <row r="663" spans="24:35" ht="15.75" customHeight="1" x14ac:dyDescent="0.35">
      <c r="X663" s="26"/>
      <c r="AA663" s="27"/>
      <c r="AI663" s="27"/>
    </row>
    <row r="664" spans="24:35" ht="15.75" customHeight="1" x14ac:dyDescent="0.35">
      <c r="X664" s="26"/>
      <c r="AA664" s="27"/>
      <c r="AI664" s="27"/>
    </row>
    <row r="665" spans="24:35" ht="15.75" customHeight="1" x14ac:dyDescent="0.35">
      <c r="X665" s="26"/>
      <c r="AA665" s="27"/>
      <c r="AI665" s="27"/>
    </row>
    <row r="666" spans="24:35" ht="15.75" customHeight="1" x14ac:dyDescent="0.35">
      <c r="X666" s="26"/>
      <c r="AA666" s="27"/>
      <c r="AI666" s="27"/>
    </row>
    <row r="667" spans="24:35" ht="15.75" customHeight="1" x14ac:dyDescent="0.35">
      <c r="X667" s="26"/>
      <c r="AA667" s="27"/>
      <c r="AI667" s="27"/>
    </row>
    <row r="668" spans="24:35" ht="15.75" customHeight="1" x14ac:dyDescent="0.35">
      <c r="X668" s="26"/>
      <c r="AA668" s="27"/>
      <c r="AI668" s="27"/>
    </row>
    <row r="669" spans="24:35" ht="15.75" customHeight="1" x14ac:dyDescent="0.35">
      <c r="X669" s="26"/>
      <c r="AA669" s="27"/>
      <c r="AI669" s="27"/>
    </row>
    <row r="670" spans="24:35" ht="15.75" customHeight="1" x14ac:dyDescent="0.35">
      <c r="X670" s="26"/>
      <c r="AA670" s="27"/>
      <c r="AI670" s="27"/>
    </row>
    <row r="671" spans="24:35" ht="15.75" customHeight="1" x14ac:dyDescent="0.35">
      <c r="X671" s="26"/>
      <c r="AA671" s="27"/>
      <c r="AI671" s="27"/>
    </row>
    <row r="672" spans="24:35" ht="15.75" customHeight="1" x14ac:dyDescent="0.35">
      <c r="X672" s="26"/>
      <c r="AA672" s="27"/>
      <c r="AI672" s="27"/>
    </row>
    <row r="673" spans="24:35" ht="15.75" customHeight="1" x14ac:dyDescent="0.35">
      <c r="X673" s="26"/>
      <c r="AA673" s="27"/>
      <c r="AI673" s="27"/>
    </row>
    <row r="674" spans="24:35" ht="15.75" customHeight="1" x14ac:dyDescent="0.35">
      <c r="X674" s="26"/>
      <c r="AA674" s="27"/>
      <c r="AI674" s="27"/>
    </row>
    <row r="675" spans="24:35" ht="15.75" customHeight="1" x14ac:dyDescent="0.35">
      <c r="X675" s="26"/>
      <c r="AA675" s="27"/>
      <c r="AI675" s="27"/>
    </row>
    <row r="676" spans="24:35" ht="15.75" customHeight="1" x14ac:dyDescent="0.35">
      <c r="X676" s="26"/>
      <c r="AA676" s="27"/>
      <c r="AI676" s="27"/>
    </row>
    <row r="677" spans="24:35" ht="15.75" customHeight="1" x14ac:dyDescent="0.35">
      <c r="X677" s="26"/>
      <c r="AA677" s="27"/>
      <c r="AI677" s="27"/>
    </row>
    <row r="678" spans="24:35" ht="15.75" customHeight="1" x14ac:dyDescent="0.35">
      <c r="X678" s="26"/>
      <c r="AA678" s="27"/>
      <c r="AI678" s="27"/>
    </row>
    <row r="679" spans="24:35" ht="15.75" customHeight="1" x14ac:dyDescent="0.35">
      <c r="X679" s="26"/>
      <c r="AA679" s="27"/>
      <c r="AI679" s="27"/>
    </row>
    <row r="680" spans="24:35" ht="15.75" customHeight="1" x14ac:dyDescent="0.35">
      <c r="X680" s="26"/>
      <c r="AA680" s="27"/>
      <c r="AI680" s="27"/>
    </row>
    <row r="681" spans="24:35" ht="15.75" customHeight="1" x14ac:dyDescent="0.35">
      <c r="X681" s="26"/>
      <c r="AA681" s="27"/>
      <c r="AI681" s="27"/>
    </row>
    <row r="682" spans="24:35" ht="15.75" customHeight="1" x14ac:dyDescent="0.35">
      <c r="X682" s="26"/>
      <c r="AA682" s="27"/>
      <c r="AI682" s="27"/>
    </row>
    <row r="683" spans="24:35" ht="15.75" customHeight="1" x14ac:dyDescent="0.35">
      <c r="X683" s="26"/>
      <c r="AA683" s="27"/>
      <c r="AI683" s="27"/>
    </row>
    <row r="684" spans="24:35" ht="15.75" customHeight="1" x14ac:dyDescent="0.35">
      <c r="X684" s="26"/>
      <c r="AA684" s="27"/>
      <c r="AI684" s="27"/>
    </row>
    <row r="685" spans="24:35" ht="15.75" customHeight="1" x14ac:dyDescent="0.35">
      <c r="X685" s="26"/>
      <c r="AA685" s="27"/>
      <c r="AI685" s="27"/>
    </row>
    <row r="686" spans="24:35" ht="15.75" customHeight="1" x14ac:dyDescent="0.35">
      <c r="X686" s="26"/>
      <c r="AA686" s="27"/>
      <c r="AI686" s="27"/>
    </row>
    <row r="687" spans="24:35" ht="15.75" customHeight="1" x14ac:dyDescent="0.35">
      <c r="X687" s="26"/>
      <c r="AA687" s="27"/>
      <c r="AI687" s="27"/>
    </row>
    <row r="688" spans="24:35" ht="15.75" customHeight="1" x14ac:dyDescent="0.35">
      <c r="X688" s="26"/>
      <c r="AA688" s="27"/>
      <c r="AI688" s="27"/>
    </row>
    <row r="689" spans="24:35" ht="15.75" customHeight="1" x14ac:dyDescent="0.35">
      <c r="X689" s="26"/>
      <c r="AA689" s="27"/>
      <c r="AI689" s="27"/>
    </row>
    <row r="690" spans="24:35" ht="15.75" customHeight="1" x14ac:dyDescent="0.35">
      <c r="X690" s="26"/>
      <c r="AA690" s="27"/>
      <c r="AI690" s="27"/>
    </row>
    <row r="691" spans="24:35" ht="15.75" customHeight="1" x14ac:dyDescent="0.35">
      <c r="X691" s="26"/>
      <c r="AA691" s="27"/>
      <c r="AI691" s="27"/>
    </row>
    <row r="692" spans="24:35" ht="15.75" customHeight="1" x14ac:dyDescent="0.35">
      <c r="X692" s="26"/>
      <c r="AA692" s="27"/>
      <c r="AI692" s="27"/>
    </row>
    <row r="693" spans="24:35" ht="15.75" customHeight="1" x14ac:dyDescent="0.35">
      <c r="X693" s="26"/>
      <c r="AA693" s="27"/>
      <c r="AI693" s="27"/>
    </row>
    <row r="694" spans="24:35" ht="15.75" customHeight="1" x14ac:dyDescent="0.35">
      <c r="X694" s="26"/>
      <c r="AA694" s="27"/>
      <c r="AI694" s="27"/>
    </row>
    <row r="695" spans="24:35" ht="15.75" customHeight="1" x14ac:dyDescent="0.35">
      <c r="X695" s="26"/>
      <c r="AA695" s="27"/>
      <c r="AI695" s="27"/>
    </row>
    <row r="696" spans="24:35" ht="15.75" customHeight="1" x14ac:dyDescent="0.35">
      <c r="X696" s="26"/>
      <c r="AA696" s="27"/>
      <c r="AI696" s="27"/>
    </row>
    <row r="697" spans="24:35" ht="15.75" customHeight="1" x14ac:dyDescent="0.35">
      <c r="X697" s="26"/>
      <c r="AA697" s="27"/>
      <c r="AI697" s="27"/>
    </row>
    <row r="698" spans="24:35" ht="15.75" customHeight="1" x14ac:dyDescent="0.35">
      <c r="X698" s="26"/>
      <c r="AA698" s="27"/>
      <c r="AI698" s="27"/>
    </row>
    <row r="699" spans="24:35" ht="15.75" customHeight="1" x14ac:dyDescent="0.35">
      <c r="X699" s="26"/>
      <c r="AA699" s="27"/>
      <c r="AI699" s="27"/>
    </row>
    <row r="700" spans="24:35" ht="15.75" customHeight="1" x14ac:dyDescent="0.35">
      <c r="X700" s="26"/>
      <c r="AA700" s="27"/>
      <c r="AI700" s="27"/>
    </row>
    <row r="701" spans="24:35" ht="15.75" customHeight="1" x14ac:dyDescent="0.35">
      <c r="X701" s="26"/>
      <c r="AA701" s="27"/>
      <c r="AI701" s="27"/>
    </row>
    <row r="702" spans="24:35" ht="15.75" customHeight="1" x14ac:dyDescent="0.35">
      <c r="X702" s="26"/>
      <c r="AA702" s="27"/>
      <c r="AI702" s="27"/>
    </row>
    <row r="703" spans="24:35" ht="15.75" customHeight="1" x14ac:dyDescent="0.35">
      <c r="X703" s="26"/>
      <c r="AA703" s="27"/>
      <c r="AI703" s="27"/>
    </row>
    <row r="704" spans="24:35" ht="15.75" customHeight="1" x14ac:dyDescent="0.35">
      <c r="X704" s="26"/>
      <c r="AA704" s="27"/>
      <c r="AI704" s="27"/>
    </row>
    <row r="705" spans="24:35" ht="15.75" customHeight="1" x14ac:dyDescent="0.35">
      <c r="X705" s="26"/>
      <c r="AA705" s="27"/>
      <c r="AI705" s="27"/>
    </row>
    <row r="706" spans="24:35" ht="15.75" customHeight="1" x14ac:dyDescent="0.35">
      <c r="X706" s="26"/>
      <c r="AA706" s="27"/>
      <c r="AI706" s="27"/>
    </row>
    <row r="707" spans="24:35" ht="15.75" customHeight="1" x14ac:dyDescent="0.35">
      <c r="X707" s="26"/>
      <c r="AA707" s="27"/>
      <c r="AI707" s="27"/>
    </row>
    <row r="708" spans="24:35" ht="15.75" customHeight="1" x14ac:dyDescent="0.35">
      <c r="X708" s="26"/>
      <c r="AA708" s="27"/>
      <c r="AI708" s="27"/>
    </row>
    <row r="709" spans="24:35" ht="15.75" customHeight="1" x14ac:dyDescent="0.35">
      <c r="X709" s="26"/>
      <c r="AA709" s="27"/>
      <c r="AI709" s="27"/>
    </row>
    <row r="710" spans="24:35" ht="15.75" customHeight="1" x14ac:dyDescent="0.35">
      <c r="X710" s="26"/>
      <c r="AA710" s="27"/>
      <c r="AI710" s="27"/>
    </row>
    <row r="711" spans="24:35" ht="15.75" customHeight="1" x14ac:dyDescent="0.35">
      <c r="X711" s="26"/>
      <c r="AA711" s="27"/>
      <c r="AI711" s="27"/>
    </row>
    <row r="712" spans="24:35" ht="15.75" customHeight="1" x14ac:dyDescent="0.35">
      <c r="X712" s="26"/>
      <c r="AA712" s="27"/>
      <c r="AI712" s="27"/>
    </row>
    <row r="713" spans="24:35" ht="15.75" customHeight="1" x14ac:dyDescent="0.35">
      <c r="X713" s="26"/>
      <c r="AA713" s="27"/>
      <c r="AI713" s="27"/>
    </row>
    <row r="714" spans="24:35" ht="15.75" customHeight="1" x14ac:dyDescent="0.35">
      <c r="X714" s="26"/>
      <c r="AA714" s="27"/>
      <c r="AI714" s="27"/>
    </row>
    <row r="715" spans="24:35" ht="15.75" customHeight="1" x14ac:dyDescent="0.35">
      <c r="X715" s="26"/>
      <c r="AA715" s="27"/>
      <c r="AI715" s="27"/>
    </row>
    <row r="716" spans="24:35" ht="15.75" customHeight="1" x14ac:dyDescent="0.35">
      <c r="X716" s="26"/>
      <c r="AA716" s="27"/>
      <c r="AI716" s="27"/>
    </row>
    <row r="717" spans="24:35" ht="15.75" customHeight="1" x14ac:dyDescent="0.35">
      <c r="X717" s="26"/>
      <c r="AA717" s="27"/>
      <c r="AI717" s="27"/>
    </row>
    <row r="718" spans="24:35" ht="15.75" customHeight="1" x14ac:dyDescent="0.35">
      <c r="X718" s="26"/>
      <c r="AA718" s="27"/>
      <c r="AI718" s="27"/>
    </row>
    <row r="719" spans="24:35" ht="15.75" customHeight="1" x14ac:dyDescent="0.35">
      <c r="X719" s="26"/>
      <c r="AA719" s="27"/>
      <c r="AI719" s="27"/>
    </row>
    <row r="720" spans="24:35" ht="15.75" customHeight="1" x14ac:dyDescent="0.35">
      <c r="X720" s="26"/>
      <c r="AA720" s="27"/>
      <c r="AI720" s="27"/>
    </row>
    <row r="721" spans="24:35" ht="15.75" customHeight="1" x14ac:dyDescent="0.35">
      <c r="X721" s="26"/>
      <c r="AA721" s="27"/>
      <c r="AI721" s="27"/>
    </row>
    <row r="722" spans="24:35" ht="15.75" customHeight="1" x14ac:dyDescent="0.35">
      <c r="X722" s="26"/>
      <c r="AA722" s="27"/>
      <c r="AI722" s="27"/>
    </row>
    <row r="723" spans="24:35" ht="15.75" customHeight="1" x14ac:dyDescent="0.35">
      <c r="X723" s="26"/>
      <c r="AA723" s="27"/>
      <c r="AI723" s="27"/>
    </row>
    <row r="724" spans="24:35" ht="15.75" customHeight="1" x14ac:dyDescent="0.35">
      <c r="X724" s="26"/>
      <c r="AA724" s="27"/>
      <c r="AI724" s="27"/>
    </row>
    <row r="725" spans="24:35" ht="15.75" customHeight="1" x14ac:dyDescent="0.35">
      <c r="X725" s="26"/>
      <c r="AA725" s="27"/>
      <c r="AI725" s="27"/>
    </row>
    <row r="726" spans="24:35" ht="15.75" customHeight="1" x14ac:dyDescent="0.35">
      <c r="X726" s="26"/>
      <c r="AA726" s="27"/>
      <c r="AI726" s="27"/>
    </row>
    <row r="727" spans="24:35" ht="15.75" customHeight="1" x14ac:dyDescent="0.35">
      <c r="X727" s="26"/>
      <c r="AA727" s="27"/>
      <c r="AI727" s="27"/>
    </row>
    <row r="728" spans="24:35" ht="15.75" customHeight="1" x14ac:dyDescent="0.35">
      <c r="X728" s="26"/>
      <c r="AA728" s="27"/>
      <c r="AI728" s="27"/>
    </row>
    <row r="729" spans="24:35" ht="15.75" customHeight="1" x14ac:dyDescent="0.35">
      <c r="X729" s="26"/>
      <c r="AA729" s="27"/>
      <c r="AI729" s="27"/>
    </row>
    <row r="730" spans="24:35" ht="15.75" customHeight="1" x14ac:dyDescent="0.35">
      <c r="X730" s="26"/>
      <c r="AA730" s="27"/>
      <c r="AI730" s="27"/>
    </row>
    <row r="731" spans="24:35" ht="15.75" customHeight="1" x14ac:dyDescent="0.35">
      <c r="X731" s="26"/>
      <c r="AA731" s="27"/>
      <c r="AI731" s="27"/>
    </row>
    <row r="732" spans="24:35" ht="15.75" customHeight="1" x14ac:dyDescent="0.35">
      <c r="X732" s="26"/>
      <c r="AA732" s="27"/>
      <c r="AI732" s="27"/>
    </row>
    <row r="733" spans="24:35" ht="15.75" customHeight="1" x14ac:dyDescent="0.35">
      <c r="X733" s="26"/>
      <c r="AA733" s="27"/>
      <c r="AI733" s="27"/>
    </row>
    <row r="734" spans="24:35" ht="15.75" customHeight="1" x14ac:dyDescent="0.35">
      <c r="X734" s="26"/>
      <c r="AA734" s="27"/>
      <c r="AI734" s="27"/>
    </row>
    <row r="735" spans="24:35" ht="15.75" customHeight="1" x14ac:dyDescent="0.35">
      <c r="X735" s="26"/>
      <c r="AA735" s="27"/>
      <c r="AI735" s="27"/>
    </row>
    <row r="736" spans="24:35" ht="15.75" customHeight="1" x14ac:dyDescent="0.35">
      <c r="X736" s="26"/>
      <c r="AA736" s="27"/>
      <c r="AI736" s="27"/>
    </row>
    <row r="737" spans="24:35" ht="15.75" customHeight="1" x14ac:dyDescent="0.35">
      <c r="X737" s="26"/>
      <c r="AA737" s="27"/>
      <c r="AI737" s="27"/>
    </row>
    <row r="738" spans="24:35" ht="15.75" customHeight="1" x14ac:dyDescent="0.35">
      <c r="X738" s="26"/>
      <c r="AA738" s="27"/>
      <c r="AI738" s="27"/>
    </row>
    <row r="739" spans="24:35" ht="15.75" customHeight="1" x14ac:dyDescent="0.35">
      <c r="X739" s="26"/>
      <c r="AA739" s="27"/>
      <c r="AI739" s="27"/>
    </row>
    <row r="740" spans="24:35" ht="15.75" customHeight="1" x14ac:dyDescent="0.35">
      <c r="X740" s="26"/>
      <c r="AA740" s="27"/>
      <c r="AI740" s="27"/>
    </row>
    <row r="741" spans="24:35" ht="15.75" customHeight="1" x14ac:dyDescent="0.35">
      <c r="X741" s="26"/>
      <c r="AA741" s="27"/>
      <c r="AI741" s="27"/>
    </row>
    <row r="742" spans="24:35" ht="15.75" customHeight="1" x14ac:dyDescent="0.35">
      <c r="X742" s="26"/>
      <c r="AA742" s="27"/>
      <c r="AI742" s="27"/>
    </row>
    <row r="743" spans="24:35" ht="15.75" customHeight="1" x14ac:dyDescent="0.35">
      <c r="X743" s="26"/>
      <c r="AA743" s="27"/>
      <c r="AI743" s="27"/>
    </row>
    <row r="744" spans="24:35" ht="15.75" customHeight="1" x14ac:dyDescent="0.35">
      <c r="X744" s="26"/>
      <c r="AA744" s="27"/>
      <c r="AI744" s="27"/>
    </row>
    <row r="745" spans="24:35" ht="15.75" customHeight="1" x14ac:dyDescent="0.35">
      <c r="X745" s="26"/>
      <c r="AA745" s="27"/>
      <c r="AI745" s="27"/>
    </row>
    <row r="746" spans="24:35" ht="15.75" customHeight="1" x14ac:dyDescent="0.35">
      <c r="X746" s="26"/>
      <c r="AA746" s="27"/>
      <c r="AI746" s="27"/>
    </row>
    <row r="747" spans="24:35" ht="15.75" customHeight="1" x14ac:dyDescent="0.35">
      <c r="X747" s="26"/>
      <c r="AA747" s="27"/>
      <c r="AI747" s="27"/>
    </row>
    <row r="748" spans="24:35" ht="15.75" customHeight="1" x14ac:dyDescent="0.35">
      <c r="X748" s="26"/>
      <c r="AA748" s="27"/>
      <c r="AI748" s="27"/>
    </row>
    <row r="749" spans="24:35" ht="15.75" customHeight="1" x14ac:dyDescent="0.35">
      <c r="X749" s="26"/>
      <c r="AA749" s="27"/>
      <c r="AI749" s="27"/>
    </row>
    <row r="750" spans="24:35" ht="15.75" customHeight="1" x14ac:dyDescent="0.35">
      <c r="X750" s="26"/>
      <c r="AA750" s="27"/>
      <c r="AI750" s="27"/>
    </row>
    <row r="751" spans="24:35" ht="15.75" customHeight="1" x14ac:dyDescent="0.35">
      <c r="X751" s="26"/>
      <c r="AA751" s="27"/>
      <c r="AI751" s="27"/>
    </row>
    <row r="752" spans="24:35" ht="15.75" customHeight="1" x14ac:dyDescent="0.35">
      <c r="X752" s="26"/>
      <c r="AA752" s="27"/>
      <c r="AI752" s="27"/>
    </row>
    <row r="753" spans="24:35" ht="15.75" customHeight="1" x14ac:dyDescent="0.35">
      <c r="X753" s="26"/>
      <c r="AA753" s="27"/>
      <c r="AI753" s="27"/>
    </row>
    <row r="754" spans="24:35" ht="15.75" customHeight="1" x14ac:dyDescent="0.35">
      <c r="X754" s="26"/>
      <c r="AA754" s="27"/>
      <c r="AI754" s="27"/>
    </row>
    <row r="755" spans="24:35" ht="15.75" customHeight="1" x14ac:dyDescent="0.35">
      <c r="X755" s="26"/>
      <c r="AA755" s="27"/>
      <c r="AI755" s="27"/>
    </row>
    <row r="756" spans="24:35" ht="15.75" customHeight="1" x14ac:dyDescent="0.35">
      <c r="X756" s="26"/>
      <c r="AA756" s="27"/>
      <c r="AI756" s="27"/>
    </row>
    <row r="757" spans="24:35" ht="15.75" customHeight="1" x14ac:dyDescent="0.35">
      <c r="X757" s="26"/>
      <c r="AA757" s="27"/>
      <c r="AI757" s="27"/>
    </row>
    <row r="758" spans="24:35" ht="15.75" customHeight="1" x14ac:dyDescent="0.35">
      <c r="X758" s="26"/>
      <c r="AA758" s="27"/>
      <c r="AI758" s="27"/>
    </row>
    <row r="759" spans="24:35" ht="15.75" customHeight="1" x14ac:dyDescent="0.35">
      <c r="X759" s="26"/>
      <c r="AA759" s="27"/>
      <c r="AI759" s="27"/>
    </row>
    <row r="760" spans="24:35" ht="15.75" customHeight="1" x14ac:dyDescent="0.35">
      <c r="X760" s="26"/>
      <c r="AA760" s="27"/>
      <c r="AI760" s="27"/>
    </row>
    <row r="761" spans="24:35" ht="15.75" customHeight="1" x14ac:dyDescent="0.35">
      <c r="X761" s="26"/>
      <c r="AA761" s="27"/>
      <c r="AI761" s="27"/>
    </row>
    <row r="762" spans="24:35" ht="15.75" customHeight="1" x14ac:dyDescent="0.35">
      <c r="X762" s="26"/>
      <c r="AA762" s="27"/>
      <c r="AI762" s="27"/>
    </row>
    <row r="763" spans="24:35" ht="15.75" customHeight="1" x14ac:dyDescent="0.35">
      <c r="X763" s="26"/>
      <c r="AA763" s="27"/>
      <c r="AI763" s="27"/>
    </row>
    <row r="764" spans="24:35" ht="15.75" customHeight="1" x14ac:dyDescent="0.35">
      <c r="X764" s="26"/>
      <c r="AA764" s="27"/>
      <c r="AI764" s="27"/>
    </row>
    <row r="765" spans="24:35" ht="15.75" customHeight="1" x14ac:dyDescent="0.35">
      <c r="X765" s="26"/>
      <c r="AA765" s="27"/>
      <c r="AI765" s="27"/>
    </row>
    <row r="766" spans="24:35" ht="15.75" customHeight="1" x14ac:dyDescent="0.35">
      <c r="X766" s="26"/>
      <c r="AA766" s="27"/>
      <c r="AI766" s="27"/>
    </row>
    <row r="767" spans="24:35" ht="15.75" customHeight="1" x14ac:dyDescent="0.35">
      <c r="X767" s="26"/>
      <c r="AA767" s="27"/>
      <c r="AI767" s="27"/>
    </row>
    <row r="768" spans="24:35" ht="15.75" customHeight="1" x14ac:dyDescent="0.35">
      <c r="X768" s="26"/>
      <c r="AA768" s="27"/>
      <c r="AI768" s="27"/>
    </row>
    <row r="769" spans="24:35" ht="15.75" customHeight="1" x14ac:dyDescent="0.35">
      <c r="X769" s="26"/>
      <c r="AA769" s="27"/>
      <c r="AI769" s="27"/>
    </row>
    <row r="770" spans="24:35" ht="15.75" customHeight="1" x14ac:dyDescent="0.35">
      <c r="X770" s="26"/>
      <c r="AA770" s="27"/>
      <c r="AI770" s="27"/>
    </row>
    <row r="771" spans="24:35" ht="15.75" customHeight="1" x14ac:dyDescent="0.35">
      <c r="X771" s="26"/>
      <c r="AA771" s="27"/>
      <c r="AI771" s="27"/>
    </row>
    <row r="772" spans="24:35" ht="15.75" customHeight="1" x14ac:dyDescent="0.35">
      <c r="X772" s="26"/>
      <c r="AA772" s="27"/>
      <c r="AI772" s="27"/>
    </row>
    <row r="773" spans="24:35" ht="15.75" customHeight="1" x14ac:dyDescent="0.35">
      <c r="X773" s="26"/>
      <c r="AA773" s="27"/>
      <c r="AI773" s="27"/>
    </row>
    <row r="774" spans="24:35" ht="15.75" customHeight="1" x14ac:dyDescent="0.35">
      <c r="X774" s="26"/>
      <c r="AA774" s="27"/>
      <c r="AI774" s="27"/>
    </row>
    <row r="775" spans="24:35" ht="15.75" customHeight="1" x14ac:dyDescent="0.35">
      <c r="X775" s="26"/>
      <c r="AA775" s="27"/>
      <c r="AI775" s="27"/>
    </row>
    <row r="776" spans="24:35" ht="15.75" customHeight="1" x14ac:dyDescent="0.35">
      <c r="X776" s="26"/>
      <c r="AA776" s="27"/>
      <c r="AI776" s="27"/>
    </row>
    <row r="777" spans="24:35" ht="15.75" customHeight="1" x14ac:dyDescent="0.35">
      <c r="X777" s="26"/>
      <c r="AA777" s="27"/>
      <c r="AI777" s="27"/>
    </row>
    <row r="778" spans="24:35" ht="15.75" customHeight="1" x14ac:dyDescent="0.35">
      <c r="X778" s="26"/>
      <c r="AA778" s="27"/>
      <c r="AI778" s="27"/>
    </row>
    <row r="779" spans="24:35" ht="15.75" customHeight="1" x14ac:dyDescent="0.35">
      <c r="X779" s="26"/>
      <c r="AA779" s="27"/>
      <c r="AI779" s="27"/>
    </row>
    <row r="780" spans="24:35" ht="15.75" customHeight="1" x14ac:dyDescent="0.35">
      <c r="X780" s="26"/>
      <c r="AA780" s="27"/>
      <c r="AI780" s="27"/>
    </row>
    <row r="781" spans="24:35" ht="15.75" customHeight="1" x14ac:dyDescent="0.35">
      <c r="X781" s="26"/>
      <c r="AA781" s="27"/>
      <c r="AI781" s="27"/>
    </row>
    <row r="782" spans="24:35" ht="15.75" customHeight="1" x14ac:dyDescent="0.35">
      <c r="X782" s="26"/>
      <c r="AA782" s="27"/>
      <c r="AI782" s="27"/>
    </row>
    <row r="783" spans="24:35" ht="15.75" customHeight="1" x14ac:dyDescent="0.35">
      <c r="X783" s="26"/>
      <c r="AA783" s="27"/>
      <c r="AI783" s="27"/>
    </row>
    <row r="784" spans="24:35" ht="15.75" customHeight="1" x14ac:dyDescent="0.35">
      <c r="X784" s="26"/>
      <c r="AA784" s="27"/>
      <c r="AI784" s="27"/>
    </row>
    <row r="785" spans="24:35" ht="15.75" customHeight="1" x14ac:dyDescent="0.35">
      <c r="X785" s="26"/>
      <c r="AA785" s="27"/>
      <c r="AI785" s="27"/>
    </row>
    <row r="786" spans="24:35" ht="15.75" customHeight="1" x14ac:dyDescent="0.35">
      <c r="X786" s="26"/>
      <c r="AA786" s="27"/>
      <c r="AI786" s="27"/>
    </row>
    <row r="787" spans="24:35" ht="15.75" customHeight="1" x14ac:dyDescent="0.35">
      <c r="X787" s="26"/>
      <c r="AA787" s="27"/>
      <c r="AI787" s="27"/>
    </row>
    <row r="788" spans="24:35" ht="15.75" customHeight="1" x14ac:dyDescent="0.35">
      <c r="X788" s="26"/>
      <c r="AA788" s="27"/>
      <c r="AI788" s="27"/>
    </row>
    <row r="789" spans="24:35" ht="15.75" customHeight="1" x14ac:dyDescent="0.35">
      <c r="X789" s="26"/>
      <c r="AA789" s="27"/>
      <c r="AI789" s="27"/>
    </row>
    <row r="790" spans="24:35" ht="15.75" customHeight="1" x14ac:dyDescent="0.35">
      <c r="X790" s="26"/>
      <c r="AA790" s="27"/>
      <c r="AI790" s="27"/>
    </row>
    <row r="791" spans="24:35" ht="15.75" customHeight="1" x14ac:dyDescent="0.35">
      <c r="X791" s="26"/>
      <c r="AA791" s="27"/>
      <c r="AI791" s="27"/>
    </row>
    <row r="792" spans="24:35" ht="15.75" customHeight="1" x14ac:dyDescent="0.35">
      <c r="X792" s="26"/>
      <c r="AA792" s="27"/>
      <c r="AI792" s="27"/>
    </row>
    <row r="793" spans="24:35" ht="15.75" customHeight="1" x14ac:dyDescent="0.35">
      <c r="X793" s="26"/>
      <c r="AA793" s="27"/>
      <c r="AI793" s="27"/>
    </row>
    <row r="794" spans="24:35" ht="15.75" customHeight="1" x14ac:dyDescent="0.35">
      <c r="X794" s="26"/>
      <c r="AA794" s="27"/>
      <c r="AI794" s="27"/>
    </row>
    <row r="795" spans="24:35" ht="15.75" customHeight="1" x14ac:dyDescent="0.35">
      <c r="X795" s="26"/>
      <c r="AA795" s="27"/>
      <c r="AI795" s="27"/>
    </row>
    <row r="796" spans="24:35" ht="15.75" customHeight="1" x14ac:dyDescent="0.35">
      <c r="X796" s="26"/>
      <c r="AA796" s="27"/>
      <c r="AI796" s="27"/>
    </row>
    <row r="797" spans="24:35" ht="15.75" customHeight="1" x14ac:dyDescent="0.35">
      <c r="X797" s="26"/>
      <c r="AA797" s="27"/>
      <c r="AI797" s="27"/>
    </row>
    <row r="798" spans="24:35" ht="15.75" customHeight="1" x14ac:dyDescent="0.35">
      <c r="X798" s="26"/>
      <c r="AA798" s="27"/>
      <c r="AI798" s="27"/>
    </row>
    <row r="799" spans="24:35" ht="15.75" customHeight="1" x14ac:dyDescent="0.35">
      <c r="X799" s="26"/>
      <c r="AA799" s="27"/>
      <c r="AI799" s="27"/>
    </row>
    <row r="800" spans="24:35" ht="15.75" customHeight="1" x14ac:dyDescent="0.35">
      <c r="X800" s="26"/>
      <c r="AA800" s="27"/>
      <c r="AI800" s="27"/>
    </row>
    <row r="801" spans="24:35" ht="15.75" customHeight="1" x14ac:dyDescent="0.35">
      <c r="X801" s="26"/>
      <c r="AA801" s="27"/>
      <c r="AI801" s="27"/>
    </row>
    <row r="802" spans="24:35" ht="15.75" customHeight="1" x14ac:dyDescent="0.35">
      <c r="X802" s="26"/>
      <c r="AA802" s="27"/>
      <c r="AI802" s="27"/>
    </row>
    <row r="803" spans="24:35" ht="15.75" customHeight="1" x14ac:dyDescent="0.35">
      <c r="X803" s="26"/>
      <c r="AA803" s="27"/>
      <c r="AI803" s="27"/>
    </row>
    <row r="804" spans="24:35" ht="15.75" customHeight="1" x14ac:dyDescent="0.35">
      <c r="X804" s="26"/>
      <c r="AA804" s="27"/>
      <c r="AI804" s="27"/>
    </row>
    <row r="805" spans="24:35" ht="15.75" customHeight="1" x14ac:dyDescent="0.35">
      <c r="X805" s="26"/>
      <c r="AA805" s="27"/>
      <c r="AI805" s="27"/>
    </row>
    <row r="806" spans="24:35" ht="15.75" customHeight="1" x14ac:dyDescent="0.35">
      <c r="X806" s="26"/>
      <c r="AA806" s="27"/>
      <c r="AI806" s="27"/>
    </row>
    <row r="807" spans="24:35" ht="15.75" customHeight="1" x14ac:dyDescent="0.35">
      <c r="X807" s="26"/>
      <c r="AA807" s="27"/>
      <c r="AI807" s="27"/>
    </row>
    <row r="808" spans="24:35" ht="15.75" customHeight="1" x14ac:dyDescent="0.35">
      <c r="X808" s="26"/>
      <c r="AA808" s="27"/>
      <c r="AI808" s="27"/>
    </row>
    <row r="809" spans="24:35" ht="15.75" customHeight="1" x14ac:dyDescent="0.35">
      <c r="X809" s="26"/>
      <c r="AA809" s="27"/>
      <c r="AI809" s="27"/>
    </row>
    <row r="810" spans="24:35" ht="15.75" customHeight="1" x14ac:dyDescent="0.35">
      <c r="X810" s="26"/>
      <c r="AA810" s="27"/>
      <c r="AI810" s="27"/>
    </row>
    <row r="811" spans="24:35" ht="15.75" customHeight="1" x14ac:dyDescent="0.35">
      <c r="X811" s="26"/>
      <c r="AA811" s="27"/>
      <c r="AI811" s="27"/>
    </row>
    <row r="812" spans="24:35" ht="15.75" customHeight="1" x14ac:dyDescent="0.35">
      <c r="X812" s="26"/>
      <c r="AA812" s="27"/>
      <c r="AI812" s="27"/>
    </row>
    <row r="813" spans="24:35" ht="15.75" customHeight="1" x14ac:dyDescent="0.35">
      <c r="X813" s="26"/>
      <c r="AA813" s="27"/>
      <c r="AI813" s="27"/>
    </row>
    <row r="814" spans="24:35" ht="15.75" customHeight="1" x14ac:dyDescent="0.35">
      <c r="X814" s="26"/>
      <c r="AA814" s="27"/>
      <c r="AI814" s="27"/>
    </row>
    <row r="815" spans="24:35" ht="15.75" customHeight="1" x14ac:dyDescent="0.35">
      <c r="X815" s="26"/>
      <c r="AA815" s="27"/>
      <c r="AI815" s="27"/>
    </row>
    <row r="816" spans="24:35" ht="15.75" customHeight="1" x14ac:dyDescent="0.35">
      <c r="X816" s="26"/>
      <c r="AA816" s="27"/>
      <c r="AI816" s="27"/>
    </row>
    <row r="817" spans="24:35" ht="15.75" customHeight="1" x14ac:dyDescent="0.35">
      <c r="X817" s="26"/>
      <c r="AA817" s="27"/>
      <c r="AI817" s="27"/>
    </row>
    <row r="818" spans="24:35" ht="15.75" customHeight="1" x14ac:dyDescent="0.35">
      <c r="X818" s="26"/>
      <c r="AA818" s="27"/>
      <c r="AI818" s="27"/>
    </row>
    <row r="819" spans="24:35" ht="15.75" customHeight="1" x14ac:dyDescent="0.35">
      <c r="X819" s="26"/>
      <c r="AA819" s="27"/>
      <c r="AI819" s="27"/>
    </row>
    <row r="820" spans="24:35" ht="15.75" customHeight="1" x14ac:dyDescent="0.35">
      <c r="X820" s="26"/>
      <c r="AA820" s="27"/>
      <c r="AI820" s="27"/>
    </row>
    <row r="821" spans="24:35" ht="15.75" customHeight="1" x14ac:dyDescent="0.35">
      <c r="X821" s="26"/>
      <c r="AA821" s="27"/>
      <c r="AI821" s="27"/>
    </row>
    <row r="822" spans="24:35" ht="15.75" customHeight="1" x14ac:dyDescent="0.35">
      <c r="X822" s="26"/>
      <c r="AA822" s="27"/>
      <c r="AI822" s="27"/>
    </row>
    <row r="823" spans="24:35" ht="15.75" customHeight="1" x14ac:dyDescent="0.35">
      <c r="X823" s="26"/>
      <c r="AA823" s="27"/>
      <c r="AI823" s="27"/>
    </row>
    <row r="824" spans="24:35" ht="15.75" customHeight="1" x14ac:dyDescent="0.35">
      <c r="X824" s="26"/>
      <c r="AA824" s="27"/>
      <c r="AI824" s="27"/>
    </row>
    <row r="825" spans="24:35" ht="15.75" customHeight="1" x14ac:dyDescent="0.35">
      <c r="X825" s="26"/>
      <c r="AA825" s="27"/>
      <c r="AI825" s="27"/>
    </row>
    <row r="826" spans="24:35" ht="15.75" customHeight="1" x14ac:dyDescent="0.35">
      <c r="X826" s="26"/>
      <c r="AA826" s="27"/>
      <c r="AI826" s="27"/>
    </row>
    <row r="827" spans="24:35" ht="15.75" customHeight="1" x14ac:dyDescent="0.35">
      <c r="X827" s="26"/>
      <c r="AA827" s="27"/>
      <c r="AI827" s="27"/>
    </row>
    <row r="828" spans="24:35" ht="15.75" customHeight="1" x14ac:dyDescent="0.35">
      <c r="X828" s="26"/>
      <c r="AA828" s="27"/>
      <c r="AI828" s="27"/>
    </row>
    <row r="829" spans="24:35" ht="15.75" customHeight="1" x14ac:dyDescent="0.35">
      <c r="X829" s="26"/>
      <c r="AA829" s="27"/>
      <c r="AI829" s="27"/>
    </row>
    <row r="830" spans="24:35" ht="15.75" customHeight="1" x14ac:dyDescent="0.35">
      <c r="X830" s="26"/>
      <c r="AA830" s="27"/>
      <c r="AI830" s="27"/>
    </row>
    <row r="831" spans="24:35" ht="15.75" customHeight="1" x14ac:dyDescent="0.35">
      <c r="X831" s="26"/>
      <c r="AA831" s="27"/>
      <c r="AI831" s="27"/>
    </row>
    <row r="832" spans="24:35" ht="15.75" customHeight="1" x14ac:dyDescent="0.35">
      <c r="X832" s="26"/>
      <c r="AA832" s="27"/>
      <c r="AI832" s="27"/>
    </row>
    <row r="833" spans="24:35" ht="15.75" customHeight="1" x14ac:dyDescent="0.35">
      <c r="X833" s="26"/>
      <c r="AA833" s="27"/>
      <c r="AI833" s="27"/>
    </row>
    <row r="834" spans="24:35" ht="15.75" customHeight="1" x14ac:dyDescent="0.35">
      <c r="X834" s="26"/>
      <c r="AA834" s="27"/>
      <c r="AI834" s="27"/>
    </row>
    <row r="835" spans="24:35" ht="15.75" customHeight="1" x14ac:dyDescent="0.35">
      <c r="X835" s="26"/>
      <c r="AA835" s="27"/>
      <c r="AI835" s="27"/>
    </row>
    <row r="836" spans="24:35" ht="15.75" customHeight="1" x14ac:dyDescent="0.35">
      <c r="X836" s="26"/>
      <c r="AA836" s="27"/>
      <c r="AI836" s="27"/>
    </row>
    <row r="837" spans="24:35" ht="15.75" customHeight="1" x14ac:dyDescent="0.35">
      <c r="X837" s="26"/>
      <c r="AA837" s="27"/>
      <c r="AI837" s="27"/>
    </row>
    <row r="838" spans="24:35" ht="15.75" customHeight="1" x14ac:dyDescent="0.35">
      <c r="X838" s="26"/>
      <c r="AA838" s="27"/>
      <c r="AI838" s="27"/>
    </row>
    <row r="839" spans="24:35" ht="15.75" customHeight="1" x14ac:dyDescent="0.35">
      <c r="X839" s="26"/>
      <c r="AA839" s="27"/>
      <c r="AI839" s="27"/>
    </row>
    <row r="840" spans="24:35" ht="15.75" customHeight="1" x14ac:dyDescent="0.35">
      <c r="X840" s="26"/>
      <c r="AA840" s="27"/>
      <c r="AI840" s="27"/>
    </row>
    <row r="841" spans="24:35" ht="15.75" customHeight="1" x14ac:dyDescent="0.35">
      <c r="X841" s="26"/>
      <c r="AA841" s="27"/>
      <c r="AI841" s="27"/>
    </row>
    <row r="842" spans="24:35" ht="15.75" customHeight="1" x14ac:dyDescent="0.35">
      <c r="X842" s="26"/>
      <c r="AA842" s="27"/>
      <c r="AI842" s="27"/>
    </row>
    <row r="843" spans="24:35" ht="15.75" customHeight="1" x14ac:dyDescent="0.35">
      <c r="X843" s="26"/>
      <c r="AA843" s="27"/>
      <c r="AI843" s="27"/>
    </row>
    <row r="844" spans="24:35" ht="15.75" customHeight="1" x14ac:dyDescent="0.35">
      <c r="X844" s="26"/>
      <c r="AA844" s="27"/>
      <c r="AI844" s="27"/>
    </row>
    <row r="845" spans="24:35" ht="15.75" customHeight="1" x14ac:dyDescent="0.35">
      <c r="X845" s="26"/>
      <c r="AA845" s="27"/>
      <c r="AI845" s="27"/>
    </row>
    <row r="846" spans="24:35" ht="15.75" customHeight="1" x14ac:dyDescent="0.35">
      <c r="X846" s="26"/>
      <c r="AA846" s="27"/>
      <c r="AI846" s="27"/>
    </row>
    <row r="847" spans="24:35" ht="15.75" customHeight="1" x14ac:dyDescent="0.35">
      <c r="X847" s="26"/>
      <c r="AA847" s="27"/>
      <c r="AI847" s="27"/>
    </row>
    <row r="848" spans="24:35" ht="15.75" customHeight="1" x14ac:dyDescent="0.35">
      <c r="X848" s="26"/>
      <c r="AA848" s="27"/>
      <c r="AI848" s="27"/>
    </row>
    <row r="849" spans="24:35" ht="15.75" customHeight="1" x14ac:dyDescent="0.35">
      <c r="X849" s="26"/>
      <c r="AA849" s="27"/>
      <c r="AI849" s="27"/>
    </row>
    <row r="850" spans="24:35" ht="15.75" customHeight="1" x14ac:dyDescent="0.35">
      <c r="X850" s="26"/>
      <c r="AA850" s="27"/>
      <c r="AI850" s="27"/>
    </row>
    <row r="851" spans="24:35" ht="15.75" customHeight="1" x14ac:dyDescent="0.35">
      <c r="X851" s="26"/>
      <c r="AA851" s="27"/>
      <c r="AI851" s="27"/>
    </row>
    <row r="852" spans="24:35" ht="15.75" customHeight="1" x14ac:dyDescent="0.35">
      <c r="X852" s="26"/>
      <c r="AA852" s="27"/>
      <c r="AI852" s="27"/>
    </row>
    <row r="853" spans="24:35" ht="15.75" customHeight="1" x14ac:dyDescent="0.35">
      <c r="X853" s="26"/>
      <c r="AA853" s="27"/>
      <c r="AI853" s="27"/>
    </row>
    <row r="854" spans="24:35" ht="15.75" customHeight="1" x14ac:dyDescent="0.35">
      <c r="X854" s="26"/>
      <c r="AA854" s="27"/>
      <c r="AI854" s="27"/>
    </row>
    <row r="855" spans="24:35" ht="15.75" customHeight="1" x14ac:dyDescent="0.35">
      <c r="X855" s="26"/>
      <c r="AA855" s="27"/>
      <c r="AI855" s="27"/>
    </row>
    <row r="856" spans="24:35" ht="15.75" customHeight="1" x14ac:dyDescent="0.35">
      <c r="X856" s="26"/>
      <c r="AA856" s="27"/>
      <c r="AI856" s="27"/>
    </row>
    <row r="857" spans="24:35" ht="15.75" customHeight="1" x14ac:dyDescent="0.35">
      <c r="X857" s="26"/>
      <c r="AA857" s="27"/>
      <c r="AI857" s="27"/>
    </row>
    <row r="858" spans="24:35" ht="15.75" customHeight="1" x14ac:dyDescent="0.35">
      <c r="X858" s="26"/>
      <c r="AA858" s="27"/>
      <c r="AI858" s="27"/>
    </row>
    <row r="859" spans="24:35" ht="15.75" customHeight="1" x14ac:dyDescent="0.35">
      <c r="X859" s="26"/>
      <c r="AA859" s="27"/>
      <c r="AI859" s="27"/>
    </row>
    <row r="860" spans="24:35" ht="15.75" customHeight="1" x14ac:dyDescent="0.35">
      <c r="X860" s="26"/>
      <c r="AA860" s="27"/>
      <c r="AI860" s="27"/>
    </row>
    <row r="861" spans="24:35" ht="15.75" customHeight="1" x14ac:dyDescent="0.35">
      <c r="X861" s="26"/>
      <c r="AA861" s="27"/>
      <c r="AI861" s="27"/>
    </row>
    <row r="862" spans="24:35" ht="15.75" customHeight="1" x14ac:dyDescent="0.35">
      <c r="X862" s="26"/>
      <c r="AA862" s="27"/>
      <c r="AI862" s="27"/>
    </row>
    <row r="863" spans="24:35" ht="15.75" customHeight="1" x14ac:dyDescent="0.35">
      <c r="X863" s="26"/>
      <c r="AA863" s="27"/>
      <c r="AI863" s="27"/>
    </row>
    <row r="864" spans="24:35" ht="15.75" customHeight="1" x14ac:dyDescent="0.35">
      <c r="X864" s="26"/>
      <c r="AA864" s="27"/>
      <c r="AI864" s="27"/>
    </row>
    <row r="865" spans="24:35" ht="15.75" customHeight="1" x14ac:dyDescent="0.35">
      <c r="X865" s="26"/>
      <c r="AA865" s="27"/>
      <c r="AI865" s="27"/>
    </row>
    <row r="866" spans="24:35" ht="15.75" customHeight="1" x14ac:dyDescent="0.35">
      <c r="X866" s="26"/>
      <c r="AA866" s="27"/>
      <c r="AI866" s="27"/>
    </row>
    <row r="867" spans="24:35" ht="15.75" customHeight="1" x14ac:dyDescent="0.35">
      <c r="X867" s="26"/>
      <c r="AA867" s="27"/>
      <c r="AI867" s="27"/>
    </row>
    <row r="868" spans="24:35" ht="15.75" customHeight="1" x14ac:dyDescent="0.35">
      <c r="X868" s="26"/>
      <c r="AA868" s="27"/>
      <c r="AI868" s="27"/>
    </row>
    <row r="869" spans="24:35" ht="15.75" customHeight="1" x14ac:dyDescent="0.35">
      <c r="X869" s="26"/>
      <c r="AA869" s="27"/>
      <c r="AI869" s="27"/>
    </row>
    <row r="870" spans="24:35" ht="15.75" customHeight="1" x14ac:dyDescent="0.35">
      <c r="X870" s="26"/>
      <c r="AA870" s="27"/>
      <c r="AI870" s="27"/>
    </row>
    <row r="871" spans="24:35" ht="15.75" customHeight="1" x14ac:dyDescent="0.35">
      <c r="X871" s="26"/>
      <c r="AA871" s="27"/>
      <c r="AI871" s="27"/>
    </row>
    <row r="872" spans="24:35" ht="15.75" customHeight="1" x14ac:dyDescent="0.35">
      <c r="X872" s="26"/>
      <c r="AA872" s="27"/>
      <c r="AI872" s="27"/>
    </row>
    <row r="873" spans="24:35" ht="15.75" customHeight="1" x14ac:dyDescent="0.35">
      <c r="X873" s="26"/>
      <c r="AA873" s="27"/>
      <c r="AI873" s="27"/>
    </row>
    <row r="874" spans="24:35" ht="15.75" customHeight="1" x14ac:dyDescent="0.35">
      <c r="X874" s="26"/>
      <c r="AA874" s="27"/>
      <c r="AI874" s="27"/>
    </row>
    <row r="875" spans="24:35" ht="15.75" customHeight="1" x14ac:dyDescent="0.35">
      <c r="X875" s="26"/>
      <c r="AA875" s="27"/>
      <c r="AI875" s="27"/>
    </row>
    <row r="876" spans="24:35" ht="15.75" customHeight="1" x14ac:dyDescent="0.35">
      <c r="X876" s="26"/>
      <c r="AA876" s="27"/>
      <c r="AI876" s="27"/>
    </row>
    <row r="877" spans="24:35" ht="15.75" customHeight="1" x14ac:dyDescent="0.35">
      <c r="X877" s="26"/>
      <c r="AA877" s="27"/>
      <c r="AI877" s="27"/>
    </row>
    <row r="878" spans="24:35" ht="15.75" customHeight="1" x14ac:dyDescent="0.35">
      <c r="X878" s="26"/>
      <c r="AA878" s="27"/>
      <c r="AI878" s="27"/>
    </row>
    <row r="879" spans="24:35" ht="15.75" customHeight="1" x14ac:dyDescent="0.35">
      <c r="X879" s="26"/>
      <c r="AA879" s="27"/>
      <c r="AI879" s="27"/>
    </row>
    <row r="880" spans="24:35" ht="15.75" customHeight="1" x14ac:dyDescent="0.35">
      <c r="X880" s="26"/>
      <c r="AA880" s="27"/>
      <c r="AI880" s="27"/>
    </row>
    <row r="881" spans="24:35" ht="15.75" customHeight="1" x14ac:dyDescent="0.35">
      <c r="X881" s="26"/>
      <c r="AA881" s="27"/>
      <c r="AI881" s="27"/>
    </row>
    <row r="882" spans="24:35" ht="15.75" customHeight="1" x14ac:dyDescent="0.35">
      <c r="X882" s="26"/>
      <c r="AA882" s="27"/>
      <c r="AI882" s="27"/>
    </row>
    <row r="883" spans="24:35" ht="15.75" customHeight="1" x14ac:dyDescent="0.35">
      <c r="X883" s="26"/>
      <c r="AA883" s="27"/>
      <c r="AI883" s="27"/>
    </row>
    <row r="884" spans="24:35" ht="15.75" customHeight="1" x14ac:dyDescent="0.35">
      <c r="X884" s="26"/>
      <c r="AA884" s="27"/>
      <c r="AI884" s="27"/>
    </row>
    <row r="885" spans="24:35" ht="15.75" customHeight="1" x14ac:dyDescent="0.35">
      <c r="X885" s="26"/>
      <c r="AA885" s="27"/>
      <c r="AI885" s="27"/>
    </row>
    <row r="886" spans="24:35" ht="15.75" customHeight="1" x14ac:dyDescent="0.35">
      <c r="X886" s="26"/>
      <c r="AA886" s="27"/>
      <c r="AI886" s="27"/>
    </row>
    <row r="887" spans="24:35" ht="15.75" customHeight="1" x14ac:dyDescent="0.35">
      <c r="X887" s="26"/>
      <c r="AA887" s="27"/>
      <c r="AI887" s="27"/>
    </row>
    <row r="888" spans="24:35" ht="15.75" customHeight="1" x14ac:dyDescent="0.35">
      <c r="X888" s="26"/>
      <c r="AA888" s="27"/>
      <c r="AI888" s="27"/>
    </row>
    <row r="889" spans="24:35" ht="15.75" customHeight="1" x14ac:dyDescent="0.35">
      <c r="X889" s="26"/>
      <c r="AA889" s="27"/>
      <c r="AI889" s="27"/>
    </row>
    <row r="890" spans="24:35" ht="15.75" customHeight="1" x14ac:dyDescent="0.35">
      <c r="X890" s="26"/>
      <c r="AA890" s="27"/>
      <c r="AI890" s="27"/>
    </row>
    <row r="891" spans="24:35" ht="15.75" customHeight="1" x14ac:dyDescent="0.35">
      <c r="X891" s="26"/>
      <c r="AA891" s="27"/>
      <c r="AI891" s="27"/>
    </row>
    <row r="892" spans="24:35" ht="15.75" customHeight="1" x14ac:dyDescent="0.35">
      <c r="X892" s="26"/>
      <c r="AA892" s="27"/>
      <c r="AI892" s="27"/>
    </row>
    <row r="893" spans="24:35" ht="15.75" customHeight="1" x14ac:dyDescent="0.35">
      <c r="X893" s="26"/>
      <c r="AA893" s="27"/>
      <c r="AI893" s="27"/>
    </row>
    <row r="894" spans="24:35" ht="15.75" customHeight="1" x14ac:dyDescent="0.35">
      <c r="X894" s="26"/>
      <c r="AA894" s="27"/>
      <c r="AI894" s="27"/>
    </row>
    <row r="895" spans="24:35" ht="15.75" customHeight="1" x14ac:dyDescent="0.35">
      <c r="X895" s="26"/>
      <c r="AA895" s="27"/>
      <c r="AI895" s="27"/>
    </row>
    <row r="896" spans="24:35" ht="15.75" customHeight="1" x14ac:dyDescent="0.35">
      <c r="X896" s="26"/>
      <c r="AA896" s="27"/>
      <c r="AI896" s="27"/>
    </row>
    <row r="897" spans="24:35" ht="15.75" customHeight="1" x14ac:dyDescent="0.35">
      <c r="X897" s="26"/>
      <c r="AA897" s="27"/>
      <c r="AI897" s="27"/>
    </row>
    <row r="898" spans="24:35" ht="15.75" customHeight="1" x14ac:dyDescent="0.35">
      <c r="X898" s="26"/>
      <c r="AA898" s="27"/>
      <c r="AI898" s="27"/>
    </row>
    <row r="899" spans="24:35" ht="15.75" customHeight="1" x14ac:dyDescent="0.35">
      <c r="X899" s="26"/>
      <c r="AA899" s="27"/>
      <c r="AI899" s="27"/>
    </row>
    <row r="900" spans="24:35" ht="15.75" customHeight="1" x14ac:dyDescent="0.35">
      <c r="X900" s="26"/>
      <c r="AA900" s="27"/>
      <c r="AI900" s="27"/>
    </row>
    <row r="901" spans="24:35" ht="15.75" customHeight="1" x14ac:dyDescent="0.35">
      <c r="X901" s="26"/>
      <c r="AA901" s="27"/>
      <c r="AI901" s="27"/>
    </row>
    <row r="902" spans="24:35" ht="15.75" customHeight="1" x14ac:dyDescent="0.35">
      <c r="X902" s="26"/>
      <c r="AA902" s="27"/>
      <c r="AI902" s="27"/>
    </row>
    <row r="903" spans="24:35" ht="15.75" customHeight="1" x14ac:dyDescent="0.35">
      <c r="X903" s="26"/>
      <c r="AA903" s="27"/>
      <c r="AI903" s="27"/>
    </row>
    <row r="904" spans="24:35" ht="15.75" customHeight="1" x14ac:dyDescent="0.35">
      <c r="X904" s="26"/>
      <c r="AA904" s="27"/>
      <c r="AI904" s="27"/>
    </row>
    <row r="905" spans="24:35" ht="15.75" customHeight="1" x14ac:dyDescent="0.35">
      <c r="X905" s="26"/>
      <c r="AA905" s="27"/>
      <c r="AI905" s="27"/>
    </row>
    <row r="906" spans="24:35" ht="15.75" customHeight="1" x14ac:dyDescent="0.35">
      <c r="X906" s="26"/>
      <c r="AA906" s="27"/>
      <c r="AI906" s="27"/>
    </row>
    <row r="907" spans="24:35" ht="15.75" customHeight="1" x14ac:dyDescent="0.35">
      <c r="X907" s="26"/>
      <c r="AA907" s="27"/>
      <c r="AI907" s="27"/>
    </row>
    <row r="908" spans="24:35" ht="15.75" customHeight="1" x14ac:dyDescent="0.35">
      <c r="X908" s="26"/>
      <c r="AA908" s="27"/>
      <c r="AI908" s="27"/>
    </row>
    <row r="909" spans="24:35" ht="15.75" customHeight="1" x14ac:dyDescent="0.35">
      <c r="X909" s="26"/>
      <c r="AA909" s="27"/>
      <c r="AI909" s="27"/>
    </row>
    <row r="910" spans="24:35" ht="15.75" customHeight="1" x14ac:dyDescent="0.35">
      <c r="X910" s="26"/>
      <c r="AA910" s="27"/>
      <c r="AI910" s="27"/>
    </row>
    <row r="911" spans="24:35" ht="15.75" customHeight="1" x14ac:dyDescent="0.35">
      <c r="X911" s="26"/>
      <c r="AA911" s="27"/>
      <c r="AI911" s="27"/>
    </row>
    <row r="912" spans="24:35" ht="15.75" customHeight="1" x14ac:dyDescent="0.35">
      <c r="X912" s="26"/>
      <c r="AA912" s="27"/>
      <c r="AI912" s="27"/>
    </row>
    <row r="913" spans="24:35" ht="15.75" customHeight="1" x14ac:dyDescent="0.35">
      <c r="X913" s="26"/>
      <c r="AA913" s="27"/>
      <c r="AI913" s="27"/>
    </row>
    <row r="914" spans="24:35" ht="15.75" customHeight="1" x14ac:dyDescent="0.35">
      <c r="X914" s="26"/>
      <c r="AA914" s="27"/>
      <c r="AI914" s="27"/>
    </row>
    <row r="915" spans="24:35" ht="15.75" customHeight="1" x14ac:dyDescent="0.35">
      <c r="X915" s="26"/>
      <c r="AA915" s="27"/>
      <c r="AI915" s="27"/>
    </row>
    <row r="916" spans="24:35" ht="15.75" customHeight="1" x14ac:dyDescent="0.35">
      <c r="X916" s="26"/>
      <c r="AA916" s="27"/>
      <c r="AI916" s="27"/>
    </row>
    <row r="917" spans="24:35" ht="15.75" customHeight="1" x14ac:dyDescent="0.35">
      <c r="X917" s="26"/>
      <c r="AA917" s="27"/>
      <c r="AI917" s="27"/>
    </row>
    <row r="918" spans="24:35" ht="15.75" customHeight="1" x14ac:dyDescent="0.35">
      <c r="X918" s="26"/>
      <c r="AA918" s="27"/>
      <c r="AI918" s="27"/>
    </row>
    <row r="919" spans="24:35" ht="15.75" customHeight="1" x14ac:dyDescent="0.35">
      <c r="X919" s="26"/>
      <c r="AA919" s="27"/>
      <c r="AI919" s="27"/>
    </row>
    <row r="920" spans="24:35" ht="15.75" customHeight="1" x14ac:dyDescent="0.35">
      <c r="X920" s="26"/>
      <c r="AA920" s="27"/>
      <c r="AI920" s="27"/>
    </row>
    <row r="921" spans="24:35" ht="15.75" customHeight="1" x14ac:dyDescent="0.35">
      <c r="X921" s="26"/>
      <c r="AA921" s="27"/>
      <c r="AI921" s="27"/>
    </row>
    <row r="922" spans="24:35" ht="15.75" customHeight="1" x14ac:dyDescent="0.35">
      <c r="X922" s="26"/>
      <c r="AA922" s="27"/>
      <c r="AI922" s="27"/>
    </row>
    <row r="923" spans="24:35" ht="15.75" customHeight="1" x14ac:dyDescent="0.35">
      <c r="X923" s="26"/>
      <c r="AA923" s="27"/>
      <c r="AI923" s="27"/>
    </row>
    <row r="924" spans="24:35" ht="15.75" customHeight="1" x14ac:dyDescent="0.35">
      <c r="X924" s="26"/>
      <c r="AA924" s="27"/>
      <c r="AI924" s="27"/>
    </row>
    <row r="925" spans="24:35" ht="15.75" customHeight="1" x14ac:dyDescent="0.35">
      <c r="X925" s="26"/>
      <c r="AA925" s="27"/>
      <c r="AI925" s="27"/>
    </row>
    <row r="926" spans="24:35" ht="15.75" customHeight="1" x14ac:dyDescent="0.35">
      <c r="X926" s="26"/>
      <c r="AA926" s="27"/>
      <c r="AI926" s="27"/>
    </row>
    <row r="927" spans="24:35" ht="15.75" customHeight="1" x14ac:dyDescent="0.35">
      <c r="X927" s="26"/>
      <c r="AA927" s="27"/>
      <c r="AI927" s="27"/>
    </row>
    <row r="928" spans="24:35" ht="15.75" customHeight="1" x14ac:dyDescent="0.35">
      <c r="X928" s="26"/>
      <c r="AA928" s="27"/>
      <c r="AI928" s="27"/>
    </row>
    <row r="929" spans="24:35" ht="15.75" customHeight="1" x14ac:dyDescent="0.35">
      <c r="X929" s="26"/>
      <c r="AA929" s="27"/>
      <c r="AI929" s="27"/>
    </row>
    <row r="930" spans="24:35" ht="15.75" customHeight="1" x14ac:dyDescent="0.35">
      <c r="X930" s="26"/>
      <c r="AA930" s="27"/>
      <c r="AI930" s="27"/>
    </row>
    <row r="931" spans="24:35" ht="15.75" customHeight="1" x14ac:dyDescent="0.35">
      <c r="X931" s="26"/>
      <c r="AA931" s="27"/>
      <c r="AI931" s="27"/>
    </row>
    <row r="932" spans="24:35" ht="15.75" customHeight="1" x14ac:dyDescent="0.35">
      <c r="X932" s="26"/>
      <c r="AA932" s="27"/>
      <c r="AI932" s="27"/>
    </row>
    <row r="933" spans="24:35" ht="15.75" customHeight="1" x14ac:dyDescent="0.35">
      <c r="X933" s="26"/>
      <c r="AA933" s="27"/>
      <c r="AI933" s="27"/>
    </row>
    <row r="934" spans="24:35" ht="15.75" customHeight="1" x14ac:dyDescent="0.35">
      <c r="X934" s="26"/>
      <c r="AA934" s="27"/>
      <c r="AI934" s="27"/>
    </row>
    <row r="935" spans="24:35" ht="15.75" customHeight="1" x14ac:dyDescent="0.35">
      <c r="X935" s="26"/>
      <c r="AA935" s="27"/>
      <c r="AI935" s="27"/>
    </row>
    <row r="936" spans="24:35" ht="15.75" customHeight="1" x14ac:dyDescent="0.35">
      <c r="X936" s="26"/>
      <c r="AA936" s="27"/>
      <c r="AI936" s="27"/>
    </row>
    <row r="937" spans="24:35" ht="15.75" customHeight="1" x14ac:dyDescent="0.35">
      <c r="X937" s="26"/>
      <c r="AA937" s="27"/>
      <c r="AI937" s="27"/>
    </row>
    <row r="938" spans="24:35" ht="15.75" customHeight="1" x14ac:dyDescent="0.35">
      <c r="X938" s="26"/>
      <c r="AA938" s="27"/>
      <c r="AI938" s="27"/>
    </row>
    <row r="939" spans="24:35" ht="15.75" customHeight="1" x14ac:dyDescent="0.35">
      <c r="X939" s="26"/>
      <c r="AA939" s="27"/>
      <c r="AI939" s="27"/>
    </row>
    <row r="940" spans="24:35" ht="15.75" customHeight="1" x14ac:dyDescent="0.35">
      <c r="X940" s="26"/>
      <c r="AA940" s="27"/>
      <c r="AI940" s="27"/>
    </row>
    <row r="941" spans="24:35" ht="15.75" customHeight="1" x14ac:dyDescent="0.35">
      <c r="X941" s="26"/>
      <c r="AA941" s="27"/>
      <c r="AI941" s="27"/>
    </row>
    <row r="942" spans="24:35" ht="15.75" customHeight="1" x14ac:dyDescent="0.35">
      <c r="X942" s="26"/>
      <c r="AA942" s="27"/>
      <c r="AI942" s="27"/>
    </row>
    <row r="943" spans="24:35" ht="15.75" customHeight="1" x14ac:dyDescent="0.35">
      <c r="X943" s="26"/>
      <c r="AA943" s="27"/>
      <c r="AI943" s="27"/>
    </row>
    <row r="944" spans="24:35" ht="15.75" customHeight="1" x14ac:dyDescent="0.35">
      <c r="X944" s="26"/>
      <c r="AA944" s="27"/>
      <c r="AI944" s="27"/>
    </row>
    <row r="945" spans="24:35" ht="15.75" customHeight="1" x14ac:dyDescent="0.35">
      <c r="X945" s="26"/>
      <c r="AA945" s="27"/>
      <c r="AI945" s="27"/>
    </row>
    <row r="946" spans="24:35" ht="15.75" customHeight="1" x14ac:dyDescent="0.35">
      <c r="X946" s="26"/>
      <c r="AA946" s="27"/>
      <c r="AI946" s="27"/>
    </row>
    <row r="947" spans="24:35" ht="15.75" customHeight="1" x14ac:dyDescent="0.35">
      <c r="X947" s="26"/>
      <c r="AA947" s="27"/>
      <c r="AI947" s="27"/>
    </row>
    <row r="948" spans="24:35" ht="15.75" customHeight="1" x14ac:dyDescent="0.35">
      <c r="X948" s="26"/>
      <c r="AA948" s="27"/>
      <c r="AI948" s="27"/>
    </row>
    <row r="949" spans="24:35" ht="15.75" customHeight="1" x14ac:dyDescent="0.35">
      <c r="X949" s="26"/>
      <c r="AA949" s="27"/>
      <c r="AI949" s="27"/>
    </row>
    <row r="950" spans="24:35" ht="15.75" customHeight="1" x14ac:dyDescent="0.35">
      <c r="X950" s="26"/>
      <c r="AA950" s="27"/>
      <c r="AI950" s="27"/>
    </row>
    <row r="951" spans="24:35" ht="15.75" customHeight="1" x14ac:dyDescent="0.35">
      <c r="X951" s="26"/>
      <c r="AA951" s="27"/>
      <c r="AI951" s="27"/>
    </row>
    <row r="952" spans="24:35" ht="15.75" customHeight="1" x14ac:dyDescent="0.35">
      <c r="X952" s="26"/>
      <c r="AA952" s="27"/>
      <c r="AI952" s="27"/>
    </row>
    <row r="953" spans="24:35" ht="15.75" customHeight="1" x14ac:dyDescent="0.35">
      <c r="X953" s="26"/>
      <c r="AA953" s="27"/>
      <c r="AI953" s="27"/>
    </row>
    <row r="954" spans="24:35" ht="15.75" customHeight="1" x14ac:dyDescent="0.35">
      <c r="X954" s="26"/>
      <c r="AA954" s="27"/>
      <c r="AI954" s="27"/>
    </row>
    <row r="955" spans="24:35" ht="15.75" customHeight="1" x14ac:dyDescent="0.35">
      <c r="X955" s="26"/>
      <c r="AA955" s="27"/>
      <c r="AI955" s="27"/>
    </row>
    <row r="956" spans="24:35" ht="15.75" customHeight="1" x14ac:dyDescent="0.35">
      <c r="X956" s="26"/>
      <c r="AA956" s="27"/>
      <c r="AI956" s="27"/>
    </row>
    <row r="957" spans="24:35" ht="15.75" customHeight="1" x14ac:dyDescent="0.35">
      <c r="X957" s="26"/>
      <c r="AA957" s="27"/>
      <c r="AI957" s="27"/>
    </row>
    <row r="958" spans="24:35" ht="15.75" customHeight="1" x14ac:dyDescent="0.35">
      <c r="X958" s="26"/>
      <c r="AA958" s="27"/>
      <c r="AI958" s="27"/>
    </row>
    <row r="959" spans="24:35" ht="15.75" customHeight="1" x14ac:dyDescent="0.35">
      <c r="X959" s="26"/>
      <c r="AA959" s="27"/>
      <c r="AI959" s="27"/>
    </row>
    <row r="960" spans="24:35" ht="15.75" customHeight="1" x14ac:dyDescent="0.35">
      <c r="X960" s="26"/>
      <c r="AA960" s="27"/>
      <c r="AI960" s="27"/>
    </row>
    <row r="961" spans="24:35" ht="15.75" customHeight="1" x14ac:dyDescent="0.35">
      <c r="X961" s="26"/>
      <c r="AA961" s="27"/>
      <c r="AI961" s="27"/>
    </row>
    <row r="962" spans="24:35" ht="15.75" customHeight="1" x14ac:dyDescent="0.35">
      <c r="X962" s="26"/>
      <c r="AA962" s="27"/>
      <c r="AI962" s="27"/>
    </row>
    <row r="963" spans="24:35" ht="15.75" customHeight="1" x14ac:dyDescent="0.35">
      <c r="X963" s="26"/>
      <c r="AA963" s="27"/>
      <c r="AI963" s="27"/>
    </row>
    <row r="964" spans="24:35" ht="15.75" customHeight="1" x14ac:dyDescent="0.35">
      <c r="X964" s="26"/>
      <c r="AA964" s="27"/>
      <c r="AI964" s="27"/>
    </row>
    <row r="965" spans="24:35" ht="15.75" customHeight="1" x14ac:dyDescent="0.35">
      <c r="X965" s="26"/>
      <c r="AA965" s="27"/>
      <c r="AI965" s="27"/>
    </row>
    <row r="966" spans="24:35" ht="15.75" customHeight="1" x14ac:dyDescent="0.35">
      <c r="X966" s="26"/>
      <c r="AA966" s="27"/>
      <c r="AI966" s="27"/>
    </row>
    <row r="967" spans="24:35" ht="15.75" customHeight="1" x14ac:dyDescent="0.35">
      <c r="X967" s="26"/>
      <c r="AA967" s="27"/>
      <c r="AI967" s="27"/>
    </row>
    <row r="968" spans="24:35" ht="15.75" customHeight="1" x14ac:dyDescent="0.35">
      <c r="X968" s="26"/>
      <c r="AA968" s="27"/>
      <c r="AI968" s="27"/>
    </row>
    <row r="969" spans="24:35" ht="15.75" customHeight="1" x14ac:dyDescent="0.35">
      <c r="X969" s="26"/>
      <c r="AA969" s="27"/>
      <c r="AI969" s="27"/>
    </row>
    <row r="970" spans="24:35" ht="15.75" customHeight="1" x14ac:dyDescent="0.35">
      <c r="X970" s="26"/>
      <c r="AA970" s="27"/>
      <c r="AI970" s="27"/>
    </row>
    <row r="971" spans="24:35" ht="15.75" customHeight="1" x14ac:dyDescent="0.35">
      <c r="X971" s="26"/>
      <c r="AA971" s="27"/>
      <c r="AI971" s="27"/>
    </row>
    <row r="972" spans="24:35" ht="15.75" customHeight="1" x14ac:dyDescent="0.35">
      <c r="X972" s="26"/>
      <c r="AA972" s="27"/>
      <c r="AI972" s="27"/>
    </row>
    <row r="973" spans="24:35" ht="15.75" customHeight="1" x14ac:dyDescent="0.35">
      <c r="X973" s="26"/>
      <c r="AA973" s="27"/>
      <c r="AI973" s="27"/>
    </row>
    <row r="974" spans="24:35" ht="15.75" customHeight="1" x14ac:dyDescent="0.35">
      <c r="X974" s="26"/>
      <c r="AA974" s="27"/>
      <c r="AI974" s="27"/>
    </row>
    <row r="975" spans="24:35" ht="15.75" customHeight="1" x14ac:dyDescent="0.35">
      <c r="X975" s="26"/>
      <c r="AA975" s="27"/>
      <c r="AI975" s="27"/>
    </row>
    <row r="976" spans="24:35" ht="15.75" customHeight="1" x14ac:dyDescent="0.35">
      <c r="X976" s="26"/>
      <c r="AA976" s="27"/>
      <c r="AI976" s="27"/>
    </row>
    <row r="977" spans="24:35" ht="15.75" customHeight="1" x14ac:dyDescent="0.35">
      <c r="X977" s="26"/>
      <c r="AA977" s="27"/>
      <c r="AI977" s="27"/>
    </row>
    <row r="978" spans="24:35" ht="15.75" customHeight="1" x14ac:dyDescent="0.35">
      <c r="X978" s="26"/>
      <c r="AA978" s="27"/>
      <c r="AI978" s="27"/>
    </row>
    <row r="979" spans="24:35" ht="15.75" customHeight="1" x14ac:dyDescent="0.35">
      <c r="X979" s="26"/>
      <c r="AA979" s="27"/>
      <c r="AI979" s="27"/>
    </row>
    <row r="980" spans="24:35" ht="15.75" customHeight="1" x14ac:dyDescent="0.35">
      <c r="X980" s="26"/>
      <c r="AA980" s="27"/>
      <c r="AI980" s="27"/>
    </row>
    <row r="981" spans="24:35" ht="15.75" customHeight="1" x14ac:dyDescent="0.35">
      <c r="X981" s="26"/>
      <c r="AA981" s="27"/>
      <c r="AI981" s="27"/>
    </row>
    <row r="982" spans="24:35" ht="15.75" customHeight="1" x14ac:dyDescent="0.35">
      <c r="X982" s="26"/>
      <c r="AA982" s="27"/>
      <c r="AI982" s="27"/>
    </row>
    <row r="983" spans="24:35" ht="15.75" customHeight="1" x14ac:dyDescent="0.35">
      <c r="X983" s="26"/>
      <c r="AA983" s="27"/>
      <c r="AI983" s="27"/>
    </row>
    <row r="984" spans="24:35" ht="15.75" customHeight="1" x14ac:dyDescent="0.35">
      <c r="X984" s="26"/>
      <c r="AA984" s="27"/>
      <c r="AI984" s="27"/>
    </row>
    <row r="985" spans="24:35" ht="15.75" customHeight="1" x14ac:dyDescent="0.35">
      <c r="X985" s="26"/>
      <c r="AA985" s="27"/>
      <c r="AI985" s="27"/>
    </row>
    <row r="986" spans="24:35" ht="15.75" customHeight="1" x14ac:dyDescent="0.35">
      <c r="X986" s="26"/>
      <c r="AA986" s="27"/>
      <c r="AI986" s="27"/>
    </row>
    <row r="987" spans="24:35" ht="15.75" customHeight="1" x14ac:dyDescent="0.35">
      <c r="X987" s="26"/>
      <c r="AA987" s="27"/>
      <c r="AI987" s="27"/>
    </row>
    <row r="988" spans="24:35" ht="15.75" customHeight="1" x14ac:dyDescent="0.35">
      <c r="X988" s="26"/>
      <c r="AA988" s="27"/>
      <c r="AI988" s="27"/>
    </row>
    <row r="989" spans="24:35" ht="15.75" customHeight="1" x14ac:dyDescent="0.35">
      <c r="X989" s="26"/>
      <c r="AA989" s="27"/>
      <c r="AI989" s="27"/>
    </row>
    <row r="990" spans="24:35" ht="15.75" customHeight="1" x14ac:dyDescent="0.35">
      <c r="X990" s="26"/>
      <c r="AA990" s="27"/>
      <c r="AI990" s="27"/>
    </row>
    <row r="991" spans="24:35" ht="15.75" customHeight="1" x14ac:dyDescent="0.35">
      <c r="X991" s="26"/>
      <c r="AA991" s="27"/>
      <c r="AI991" s="27"/>
    </row>
    <row r="992" spans="24:35" ht="15.75" customHeight="1" x14ac:dyDescent="0.35">
      <c r="X992" s="26"/>
      <c r="AA992" s="27"/>
      <c r="AI992" s="27"/>
    </row>
    <row r="993" spans="24:35" ht="15.75" customHeight="1" x14ac:dyDescent="0.35">
      <c r="X993" s="26"/>
      <c r="AA993" s="27"/>
      <c r="AI993" s="27"/>
    </row>
    <row r="994" spans="24:35" ht="15.75" customHeight="1" x14ac:dyDescent="0.35">
      <c r="X994" s="26"/>
      <c r="AA994" s="27"/>
      <c r="AI994" s="27"/>
    </row>
    <row r="995" spans="24:35" ht="15.75" customHeight="1" x14ac:dyDescent="0.35">
      <c r="X995" s="26"/>
      <c r="AA995" s="27"/>
      <c r="AI995" s="27"/>
    </row>
    <row r="996" spans="24:35" ht="15.75" customHeight="1" x14ac:dyDescent="0.35">
      <c r="X996" s="26"/>
      <c r="AA996" s="27"/>
      <c r="AI996" s="27"/>
    </row>
    <row r="997" spans="24:35" ht="15.75" customHeight="1" x14ac:dyDescent="0.35">
      <c r="X997" s="26"/>
      <c r="AA997" s="27"/>
      <c r="AI997" s="27"/>
    </row>
    <row r="998" spans="24:35" ht="15.75" customHeight="1" x14ac:dyDescent="0.35">
      <c r="X998" s="26"/>
      <c r="AA998" s="27"/>
      <c r="AI998" s="27"/>
    </row>
    <row r="999" spans="24:35" ht="15.75" customHeight="1" x14ac:dyDescent="0.35">
      <c r="X999" s="26"/>
      <c r="AA999" s="27"/>
      <c r="AI999" s="27"/>
    </row>
    <row r="1000" spans="24:35" ht="15.75" customHeight="1" x14ac:dyDescent="0.35">
      <c r="X1000" s="26"/>
      <c r="AA1000" s="27"/>
      <c r="AI1000" s="27"/>
    </row>
    <row r="1001" spans="24:35" ht="15.75" customHeight="1" x14ac:dyDescent="0.35">
      <c r="X1001" s="26"/>
      <c r="AA1001" s="27"/>
      <c r="AI1001" s="27"/>
    </row>
    <row r="1002" spans="24:35" ht="15.75" customHeight="1" x14ac:dyDescent="0.35">
      <c r="X1002" s="26"/>
      <c r="AA1002" s="27"/>
      <c r="AI1002" s="27"/>
    </row>
    <row r="1003" spans="24:35" ht="15.75" customHeight="1" x14ac:dyDescent="0.35">
      <c r="X1003" s="26"/>
      <c r="AA1003" s="27"/>
      <c r="AI1003" s="27"/>
    </row>
    <row r="1004" spans="24:35" ht="15.75" customHeight="1" x14ac:dyDescent="0.35">
      <c r="X1004" s="26"/>
      <c r="AA1004" s="27"/>
      <c r="AI1004" s="27"/>
    </row>
    <row r="1005" spans="24:35" ht="15.75" customHeight="1" x14ac:dyDescent="0.35">
      <c r="X1005" s="26"/>
      <c r="AA1005" s="27"/>
      <c r="AI1005" s="27"/>
    </row>
    <row r="1006" spans="24:35" ht="15.75" customHeight="1" x14ac:dyDescent="0.35">
      <c r="X1006" s="26"/>
      <c r="AA1006" s="27"/>
      <c r="AI1006" s="27"/>
    </row>
    <row r="1007" spans="24:35" ht="15.75" customHeight="1" x14ac:dyDescent="0.35">
      <c r="X1007" s="26"/>
      <c r="AA1007" s="27"/>
      <c r="AI1007" s="27"/>
    </row>
    <row r="1008" spans="24:35" ht="15.75" customHeight="1" x14ac:dyDescent="0.35">
      <c r="X1008" s="26"/>
      <c r="AA1008" s="27"/>
      <c r="AI1008" s="27"/>
    </row>
    <row r="1009" spans="24:35" ht="15.75" customHeight="1" x14ac:dyDescent="0.35">
      <c r="X1009" s="26"/>
      <c r="AA1009" s="27"/>
      <c r="AI1009" s="27"/>
    </row>
    <row r="1010" spans="24:35" ht="15.75" customHeight="1" x14ac:dyDescent="0.35">
      <c r="X1010" s="26"/>
      <c r="AA1010" s="27"/>
      <c r="AI1010" s="27"/>
    </row>
    <row r="1011" spans="24:35" ht="15.75" customHeight="1" x14ac:dyDescent="0.35">
      <c r="X1011" s="26"/>
      <c r="AA1011" s="27"/>
      <c r="AI1011" s="27"/>
    </row>
    <row r="1012" spans="24:35" ht="15.75" customHeight="1" x14ac:dyDescent="0.35">
      <c r="X1012" s="26"/>
      <c r="AA1012" s="27"/>
      <c r="AI1012" s="27"/>
    </row>
    <row r="1013" spans="24:35" ht="15.75" customHeight="1" x14ac:dyDescent="0.35">
      <c r="X1013" s="26"/>
      <c r="AA1013" s="27"/>
      <c r="AI1013" s="27"/>
    </row>
    <row r="1014" spans="24:35" ht="15.75" customHeight="1" x14ac:dyDescent="0.35">
      <c r="X1014" s="26"/>
      <c r="AA1014" s="27"/>
      <c r="AI1014" s="27"/>
    </row>
    <row r="1015" spans="24:35" ht="15.75" customHeight="1" x14ac:dyDescent="0.35">
      <c r="X1015" s="26"/>
      <c r="AA1015" s="27"/>
      <c r="AI1015" s="27"/>
    </row>
    <row r="1016" spans="24:35" ht="15.75" customHeight="1" x14ac:dyDescent="0.35">
      <c r="X1016" s="26"/>
      <c r="AA1016" s="27"/>
      <c r="AI1016" s="27"/>
    </row>
    <row r="1017" spans="24:35" ht="15.75" customHeight="1" x14ac:dyDescent="0.35">
      <c r="X1017" s="26"/>
      <c r="AA1017" s="27"/>
      <c r="AI1017" s="27"/>
    </row>
    <row r="1018" spans="24:35" ht="15.75" customHeight="1" x14ac:dyDescent="0.35">
      <c r="X1018" s="26"/>
      <c r="AA1018" s="27"/>
      <c r="AI1018" s="27"/>
    </row>
    <row r="1019" spans="24:35" ht="15.75" customHeight="1" x14ac:dyDescent="0.35">
      <c r="X1019" s="26"/>
      <c r="AA1019" s="27"/>
      <c r="AI1019" s="27"/>
    </row>
    <row r="1020" spans="24:35" ht="15.75" customHeight="1" x14ac:dyDescent="0.35">
      <c r="X1020" s="26"/>
      <c r="AA1020" s="27"/>
      <c r="AI1020" s="27"/>
    </row>
    <row r="1021" spans="24:35" ht="15.75" customHeight="1" x14ac:dyDescent="0.35">
      <c r="X1021" s="26"/>
      <c r="AA1021" s="27"/>
      <c r="AI1021" s="27"/>
    </row>
    <row r="1022" spans="24:35" ht="15.75" customHeight="1" x14ac:dyDescent="0.35">
      <c r="X1022" s="26"/>
      <c r="AA1022" s="27"/>
      <c r="AI1022" s="27"/>
    </row>
    <row r="1023" spans="24:35" ht="15.75" customHeight="1" x14ac:dyDescent="0.35">
      <c r="X1023" s="26"/>
      <c r="AA1023" s="27"/>
      <c r="AI1023" s="27"/>
    </row>
    <row r="1024" spans="24:35" ht="15.75" customHeight="1" x14ac:dyDescent="0.35">
      <c r="X1024" s="26"/>
      <c r="AA1024" s="27"/>
      <c r="AI1024" s="27"/>
    </row>
    <row r="1025" spans="24:35" ht="15.75" customHeight="1" x14ac:dyDescent="0.35">
      <c r="X1025" s="26"/>
      <c r="AA1025" s="27"/>
      <c r="AI1025" s="27"/>
    </row>
    <row r="1026" spans="24:35" ht="15.75" customHeight="1" x14ac:dyDescent="0.35">
      <c r="X1026" s="26"/>
      <c r="AA1026" s="27"/>
      <c r="AI1026" s="27"/>
    </row>
    <row r="1027" spans="24:35" ht="15.75" customHeight="1" x14ac:dyDescent="0.35">
      <c r="X1027" s="26"/>
      <c r="AA1027" s="27"/>
      <c r="AI1027" s="27"/>
    </row>
    <row r="1028" spans="24:35" ht="15.75" customHeight="1" x14ac:dyDescent="0.35">
      <c r="X1028" s="26"/>
      <c r="AA1028" s="27"/>
      <c r="AI1028" s="27"/>
    </row>
    <row r="1029" spans="24:35" ht="15.75" customHeight="1" x14ac:dyDescent="0.35">
      <c r="X1029" s="26"/>
      <c r="AA1029" s="27"/>
      <c r="AI1029" s="27"/>
    </row>
    <row r="1030" spans="24:35" ht="14.5" x14ac:dyDescent="0.35">
      <c r="X1030" s="26"/>
      <c r="AA1030" s="27"/>
    </row>
    <row r="1031" spans="24:35" ht="14.5" x14ac:dyDescent="0.35">
      <c r="X1031" s="26"/>
      <c r="AA1031" s="27"/>
    </row>
    <row r="1032" spans="24:35" ht="14.5" x14ac:dyDescent="0.35">
      <c r="X1032" s="26"/>
      <c r="AA1032" s="27"/>
    </row>
    <row r="1033" spans="24:35" ht="14.5" x14ac:dyDescent="0.35">
      <c r="X1033" s="26"/>
      <c r="AA1033" s="27"/>
    </row>
    <row r="1034" spans="24:35" ht="14.5" x14ac:dyDescent="0.35">
      <c r="X1034" s="26"/>
      <c r="AA1034" s="27"/>
    </row>
    <row r="1035" spans="24:35" ht="14.5" x14ac:dyDescent="0.35">
      <c r="X1035" s="26"/>
      <c r="AA1035" s="27"/>
    </row>
    <row r="1036" spans="24:35" ht="14.5" x14ac:dyDescent="0.35">
      <c r="X1036" s="26"/>
      <c r="AA1036" s="27"/>
    </row>
    <row r="1037" spans="24:35" ht="14.5" x14ac:dyDescent="0.35">
      <c r="X1037" s="26"/>
      <c r="AA1037" s="27"/>
    </row>
    <row r="1038" spans="24:35" ht="14.5" x14ac:dyDescent="0.35">
      <c r="X1038" s="26"/>
      <c r="AA1038" s="27"/>
    </row>
    <row r="1039" spans="24:35" ht="14.5" x14ac:dyDescent="0.35">
      <c r="X1039" s="26"/>
      <c r="AA1039" s="27"/>
    </row>
    <row r="1040" spans="24:35" ht="14.5" x14ac:dyDescent="0.35">
      <c r="X1040" s="26"/>
      <c r="AA1040" s="27"/>
    </row>
    <row r="1041" spans="24:27" ht="14.5" x14ac:dyDescent="0.35">
      <c r="X1041" s="26"/>
      <c r="AA1041" s="27"/>
    </row>
    <row r="1042" spans="24:27" ht="14.5" x14ac:dyDescent="0.35">
      <c r="X1042" s="26"/>
      <c r="AA1042" s="27"/>
    </row>
    <row r="1043" spans="24:27" ht="14.5" x14ac:dyDescent="0.35">
      <c r="X1043" s="26"/>
      <c r="AA1043" s="27"/>
    </row>
    <row r="1044" spans="24:27" ht="14.5" x14ac:dyDescent="0.35">
      <c r="X1044" s="26"/>
      <c r="AA1044" s="27"/>
    </row>
    <row r="1045" spans="24:27" ht="14.5" x14ac:dyDescent="0.35">
      <c r="X1045" s="26"/>
      <c r="AA1045" s="27"/>
    </row>
    <row r="1046" spans="24:27" ht="14.5" x14ac:dyDescent="0.35">
      <c r="X1046" s="26"/>
      <c r="AA1046" s="27"/>
    </row>
    <row r="1047" spans="24:27" ht="14.5" x14ac:dyDescent="0.35">
      <c r="X1047" s="26"/>
      <c r="AA1047" s="27"/>
    </row>
    <row r="1048" spans="24:27" ht="14.5" x14ac:dyDescent="0.35">
      <c r="X1048" s="26"/>
    </row>
    <row r="1049" spans="24:27" ht="14.5" x14ac:dyDescent="0.35">
      <c r="X1049" s="26"/>
    </row>
    <row r="1050" spans="24:27" ht="14.5" x14ac:dyDescent="0.35">
      <c r="X1050" s="26"/>
    </row>
    <row r="1051" spans="24:27" ht="14.5" x14ac:dyDescent="0.35">
      <c r="X1051" s="26"/>
    </row>
    <row r="1052" spans="24:27" ht="14.5" x14ac:dyDescent="0.35">
      <c r="X1052" s="26"/>
    </row>
    <row r="1053" spans="24:27" ht="14.5" x14ac:dyDescent="0.35">
      <c r="X1053" s="26"/>
    </row>
    <row r="1054" spans="24:27" ht="14.5" x14ac:dyDescent="0.35">
      <c r="X1054" s="26"/>
    </row>
    <row r="1055" spans="24:27" ht="14.5" x14ac:dyDescent="0.35">
      <c r="X1055" s="26"/>
    </row>
    <row r="1056" spans="24:27" ht="14.5" x14ac:dyDescent="0.35">
      <c r="X1056" s="26"/>
    </row>
    <row r="1057" spans="24:24" ht="14.5" x14ac:dyDescent="0.35">
      <c r="X1057" s="26"/>
    </row>
    <row r="1058" spans="24:24" ht="14.5" x14ac:dyDescent="0.35">
      <c r="X1058" s="26"/>
    </row>
    <row r="1059" spans="24:24" ht="14.5" x14ac:dyDescent="0.35">
      <c r="X1059" s="26"/>
    </row>
    <row r="1060" spans="24:24" ht="14.5" x14ac:dyDescent="0.35">
      <c r="X1060" s="26"/>
    </row>
    <row r="1061" spans="24:24" ht="14.5" x14ac:dyDescent="0.35">
      <c r="X1061" s="26"/>
    </row>
    <row r="1062" spans="24:24" ht="14.5" x14ac:dyDescent="0.35">
      <c r="X1062" s="26"/>
    </row>
    <row r="1063" spans="24:24" ht="14.5" x14ac:dyDescent="0.35">
      <c r="X1063" s="26"/>
    </row>
    <row r="1064" spans="24:24" ht="14.5" x14ac:dyDescent="0.35">
      <c r="X1064" s="26"/>
    </row>
    <row r="1065" spans="24:24" ht="14.5" x14ac:dyDescent="0.35">
      <c r="X1065" s="26"/>
    </row>
    <row r="1066" spans="24:24" ht="14.5" x14ac:dyDescent="0.35">
      <c r="X1066" s="26"/>
    </row>
    <row r="1067" spans="24:24" ht="14.5" x14ac:dyDescent="0.35">
      <c r="X1067" s="26"/>
    </row>
    <row r="1068" spans="24:24" ht="14.5" x14ac:dyDescent="0.35">
      <c r="X1068" s="26"/>
    </row>
    <row r="1069" spans="24:24" ht="14.5" x14ac:dyDescent="0.35">
      <c r="X1069" s="26"/>
    </row>
    <row r="1070" spans="24:24" ht="14.5" x14ac:dyDescent="0.35">
      <c r="X1070" s="26"/>
    </row>
  </sheetData>
  <autoFilter ref="A4:AL108" xr:uid="{00000000-0009-0000-0000-000000000000}"/>
  <mergeCells count="5">
    <mergeCell ref="A1:D3"/>
    <mergeCell ref="E1:AG3"/>
    <mergeCell ref="AH1:AK1"/>
    <mergeCell ref="AH2:AK2"/>
    <mergeCell ref="AH3:AK3"/>
  </mergeCells>
  <pageMargins left="0.7" right="0.7" top="0.75" bottom="0.75" header="0" footer="0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453125" defaultRowHeight="15" customHeight="1" x14ac:dyDescent="0.35"/>
  <cols>
    <col min="1" max="26" width="10.6328125" customWidth="1"/>
  </cols>
  <sheetData>
    <row r="1" ht="14.25" customHeight="1" x14ac:dyDescent="0.35"/>
    <row r="2" ht="14.25" customHeight="1" x14ac:dyDescent="0.35"/>
    <row r="3" ht="14.25" customHeight="1" x14ac:dyDescent="0.35"/>
    <row r="4" ht="14.25" customHeight="1" x14ac:dyDescent="0.35"/>
    <row r="5" ht="14.25" customHeight="1" x14ac:dyDescent="0.35"/>
    <row r="6" ht="14.25" customHeight="1" x14ac:dyDescent="0.35"/>
    <row r="7" ht="14.25" customHeight="1" x14ac:dyDescent="0.35"/>
    <row r="8" ht="14.25" customHeight="1" x14ac:dyDescent="0.35"/>
    <row r="9" ht="14.25" customHeight="1" x14ac:dyDescent="0.35"/>
    <row r="10" ht="14.25" customHeight="1" x14ac:dyDescent="0.35"/>
    <row r="11" ht="14.25" customHeight="1" x14ac:dyDescent="0.35"/>
    <row r="12" ht="14.25" customHeight="1" x14ac:dyDescent="0.35"/>
    <row r="13" ht="14.25" customHeight="1" x14ac:dyDescent="0.35"/>
    <row r="14" ht="14.25" customHeight="1" x14ac:dyDescent="0.35"/>
    <row r="15" ht="14.25" customHeight="1" x14ac:dyDescent="0.35"/>
    <row r="1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TH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Arboleda Berrio</dc:creator>
  <cp:lastModifiedBy>Sumimedical O365_2</cp:lastModifiedBy>
  <dcterms:created xsi:type="dcterms:W3CDTF">2018-11-08T14:22:00Z</dcterms:created>
  <dcterms:modified xsi:type="dcterms:W3CDTF">2026-05-25T22:40:38Z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